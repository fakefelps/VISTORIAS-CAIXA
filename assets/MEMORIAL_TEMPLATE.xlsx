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felip\Downloads\"/>
    </mc:Choice>
  </mc:AlternateContent>
  <xr:revisionPtr revIDLastSave="0" documentId="13_ncr:1_{E10A0CE6-9AFF-4EEA-ADEB-1BA5E8090742}" xr6:coauthVersionLast="47" xr6:coauthVersionMax="47" xr10:uidLastSave="{00000000-0000-0000-0000-000000000000}"/>
  <bookViews>
    <workbookView xWindow="28680" yWindow="-120" windowWidth="29040" windowHeight="15720" xr2:uid="{75495425-F683-46BC-B9B6-2860D003661B}"/>
  </bookViews>
  <sheets>
    <sheet name="ElemConstrutivos" sheetId="53" r:id="rId1"/>
    <sheet name="Regras" sheetId="45" state="hidden" r:id="rId2"/>
  </sheets>
  <definedNames>
    <definedName name="_xlnm.Print_Area" localSheetId="0">#N/A</definedName>
    <definedName name="contratos">#N/A</definedName>
    <definedName name="programa">#N/A</definedName>
    <definedName name="SPCES">#N/A</definedName>
    <definedName name="SPCES_OP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0" i="53" l="1"/>
  <c r="B30" i="53"/>
  <c r="C32" i="53"/>
  <c r="D32" i="53"/>
  <c r="C53" i="53"/>
  <c r="B32" i="53" s="1"/>
  <c r="C54" i="53"/>
</calcChain>
</file>

<file path=xl/sharedStrings.xml><?xml version="1.0" encoding="utf-8"?>
<sst xmlns="http://schemas.openxmlformats.org/spreadsheetml/2006/main" count="280" uniqueCount="233">
  <si>
    <t>resp</t>
  </si>
  <si>
    <t>ocultar</t>
  </si>
  <si>
    <t>lista</t>
  </si>
  <si>
    <t>form</t>
  </si>
  <si>
    <t>end</t>
  </si>
  <si>
    <t>Município</t>
  </si>
  <si>
    <t>Grau de sigilo</t>
  </si>
  <si>
    <t>GIHAB/SP</t>
  </si>
  <si>
    <t>PMCMV - FAR</t>
  </si>
  <si>
    <t>PMCMV - Entidades</t>
  </si>
  <si>
    <t>PMCMV - Rural</t>
  </si>
  <si>
    <t>Programa Minha Casa Minha Vida - Entidades</t>
  </si>
  <si>
    <t>Programa Minha Casa Minha Vida - Rural</t>
  </si>
  <si>
    <t>Programa Minha Casa Minha Vida - FAR</t>
  </si>
  <si>
    <t>Sigla</t>
  </si>
  <si>
    <t>Nome</t>
  </si>
  <si>
    <t>Código</t>
  </si>
  <si>
    <t>GIHAB/BR</t>
  </si>
  <si>
    <t xml:space="preserve">GIHAB/AN </t>
  </si>
  <si>
    <t>GIHAB/GO</t>
  </si>
  <si>
    <t>GIHAB/CB</t>
  </si>
  <si>
    <t>GIHAB/CG</t>
  </si>
  <si>
    <t>GIHAB/DD</t>
  </si>
  <si>
    <t>GIHAB/PM</t>
  </si>
  <si>
    <t>GIHAB/RB</t>
  </si>
  <si>
    <t>GIHAB/MC</t>
  </si>
  <si>
    <t>GIHAB/MN</t>
  </si>
  <si>
    <t>GIHAB/BE</t>
  </si>
  <si>
    <t>GIHAB/MB</t>
  </si>
  <si>
    <t>GIHAB/TR</t>
  </si>
  <si>
    <t>GIHAB/PV</t>
  </si>
  <si>
    <t>GIHAB/BV</t>
  </si>
  <si>
    <t>GIHAB/ME</t>
  </si>
  <si>
    <t>GIHAB/VC</t>
  </si>
  <si>
    <t xml:space="preserve">GIHAB/SA </t>
  </si>
  <si>
    <t>GIHAB/IT</t>
  </si>
  <si>
    <t>GIHAB/FS</t>
  </si>
  <si>
    <t>GIHAB/BI</t>
  </si>
  <si>
    <t>GIHAB/FO</t>
  </si>
  <si>
    <t>GIHAB/JN</t>
  </si>
  <si>
    <t>GIHAB/SL</t>
  </si>
  <si>
    <t>GIHAB/JP</t>
  </si>
  <si>
    <t>GIHAB/CA</t>
  </si>
  <si>
    <t>GIHAB/LI</t>
  </si>
  <si>
    <t>GIHAB/RE</t>
  </si>
  <si>
    <t>GIHAB/TE</t>
  </si>
  <si>
    <t>GIHAB/NA</t>
  </si>
  <si>
    <t>GIHAB/AJ</t>
  </si>
  <si>
    <t>GIHAB/PG</t>
  </si>
  <si>
    <t>GIHAB/CV</t>
  </si>
  <si>
    <t>GIHAB/LD</t>
  </si>
  <si>
    <t>GIHAB/MR</t>
  </si>
  <si>
    <t>GIHAB/CT</t>
  </si>
  <si>
    <t>GIHAB/PL</t>
  </si>
  <si>
    <t>GIHAB/PO</t>
  </si>
  <si>
    <t>GIHAB/SM</t>
  </si>
  <si>
    <t>GIHAB/NH</t>
  </si>
  <si>
    <t>GIHAB/CX</t>
  </si>
  <si>
    <t>GIHAB/PF</t>
  </si>
  <si>
    <t>GIHAB/CH</t>
  </si>
  <si>
    <t>GIHAB/CR</t>
  </si>
  <si>
    <t>GIHAB/FL</t>
  </si>
  <si>
    <t>GIHAB/JV</t>
  </si>
  <si>
    <t>GIHAB/BL</t>
  </si>
  <si>
    <t>GIHAB/VT</t>
  </si>
  <si>
    <t>GIHAB/BH</t>
  </si>
  <si>
    <t>GIHAB/UB</t>
  </si>
  <si>
    <t>GIHAB/DV</t>
  </si>
  <si>
    <t>GIHAB/GV</t>
  </si>
  <si>
    <t>GIHAB/JF</t>
  </si>
  <si>
    <t>GIHAB/MO</t>
  </si>
  <si>
    <t>GIHAB/PC</t>
  </si>
  <si>
    <t>GIHAB/RJ</t>
  </si>
  <si>
    <t>GIHAB/NT</t>
  </si>
  <si>
    <t>GIHAB/CM</t>
  </si>
  <si>
    <t>GIHAB/VR</t>
  </si>
  <si>
    <t>GIHAB/BU</t>
  </si>
  <si>
    <t>GIHAB/RP</t>
  </si>
  <si>
    <t>GIHAB/SD</t>
  </si>
  <si>
    <t>GIHAB/SJ</t>
  </si>
  <si>
    <t>GIHAB/CP</t>
  </si>
  <si>
    <t>GIHAB/OS</t>
  </si>
  <si>
    <t>GIHAB/PK</t>
  </si>
  <si>
    <t>GIHAB/JD</t>
  </si>
  <si>
    <t>GIHAB/PP</t>
  </si>
  <si>
    <t>GIHAB/ST</t>
  </si>
  <si>
    <t>GIHAB/SO</t>
  </si>
  <si>
    <t>GIHAB/SR</t>
  </si>
  <si>
    <t>Belém, PA</t>
  </si>
  <si>
    <t>Brasília, DF</t>
  </si>
  <si>
    <t>Anápolis, GO</t>
  </si>
  <si>
    <t>Goiânia, GO</t>
  </si>
  <si>
    <t>Cuiabá, MT</t>
  </si>
  <si>
    <t>Campo Grande, MS</t>
  </si>
  <si>
    <t>Dourados, MS</t>
  </si>
  <si>
    <t>Palmas, TO</t>
  </si>
  <si>
    <t>Rio Branco, AC</t>
  </si>
  <si>
    <t>Macapá, AP</t>
  </si>
  <si>
    <t>Manaus, AM</t>
  </si>
  <si>
    <t>Marabá, PA</t>
  </si>
  <si>
    <t>Santarém, PA</t>
  </si>
  <si>
    <t>Porto Velho, RO</t>
  </si>
  <si>
    <t>Boa Vista, RR</t>
  </si>
  <si>
    <t>Maceió, AL</t>
  </si>
  <si>
    <t>Vitoria da Conquista, BA</t>
  </si>
  <si>
    <t>Salvador, BA</t>
  </si>
  <si>
    <t>Itabuna, BA</t>
  </si>
  <si>
    <t>Feira de Santana, BA</t>
  </si>
  <si>
    <t>Barreiras, BA</t>
  </si>
  <si>
    <t>Fortaleza, CE</t>
  </si>
  <si>
    <t>Juazeiro do Norte, CE</t>
  </si>
  <si>
    <t>São Luis, MA</t>
  </si>
  <si>
    <t>João Pessoa, PB</t>
  </si>
  <si>
    <t>Caruaru, PE</t>
  </si>
  <si>
    <t>Petrolina, PE</t>
  </si>
  <si>
    <t>Recife, PE</t>
  </si>
  <si>
    <t>Teresina, PI</t>
  </si>
  <si>
    <t>Natal, RN</t>
  </si>
  <si>
    <t>Aracaju, SE</t>
  </si>
  <si>
    <t>Ponta Grossa, PR</t>
  </si>
  <si>
    <t>Cascavel, PR</t>
  </si>
  <si>
    <t>Londrina, PR</t>
  </si>
  <si>
    <t>Maringá, PR</t>
  </si>
  <si>
    <t>Curitiba, PR</t>
  </si>
  <si>
    <t>Pelotas, RS</t>
  </si>
  <si>
    <t>Porto Alegre, RS</t>
  </si>
  <si>
    <t>Santa Maria, RS</t>
  </si>
  <si>
    <t>Novo Hamburgo, RS</t>
  </si>
  <si>
    <t>Caxias do Sul, RS</t>
  </si>
  <si>
    <t>Passo Fundo, RS</t>
  </si>
  <si>
    <t>Chapecó, SC</t>
  </si>
  <si>
    <t>Criciúma, SC</t>
  </si>
  <si>
    <t>Florianópolis, SC</t>
  </si>
  <si>
    <t>Joinville, SC</t>
  </si>
  <si>
    <t>Blumenau, SC</t>
  </si>
  <si>
    <t>Vitória, ES</t>
  </si>
  <si>
    <t>Belo Horizonte, MG</t>
  </si>
  <si>
    <t>Uberlândia, MG</t>
  </si>
  <si>
    <t>Divinópolis, MG</t>
  </si>
  <si>
    <t>Governador Valadares, MG</t>
  </si>
  <si>
    <t>Juiz de Fora, MG</t>
  </si>
  <si>
    <t>Montes Claros, MG</t>
  </si>
  <si>
    <t>Poços de Caldas, MG</t>
  </si>
  <si>
    <t>Rio de Janeiro, RJ</t>
  </si>
  <si>
    <t>Niterói, RJ</t>
  </si>
  <si>
    <t>Campos do Goytacazes, RJ</t>
  </si>
  <si>
    <t>Volta Redonda, RJ</t>
  </si>
  <si>
    <t>Bauru, SP</t>
  </si>
  <si>
    <t>Ribeirão Preto, SP</t>
  </si>
  <si>
    <t>Santo André, SP</t>
  </si>
  <si>
    <t>São José dos Campos, SP</t>
  </si>
  <si>
    <t>Campinas, SP</t>
  </si>
  <si>
    <t>Osasco, SP</t>
  </si>
  <si>
    <t>Piracicaba, SP</t>
  </si>
  <si>
    <t>Jundiaí, SP</t>
  </si>
  <si>
    <t>Presidente Prudente, SP</t>
  </si>
  <si>
    <t>Santos, SP</t>
  </si>
  <si>
    <t>Sorocaba, SP</t>
  </si>
  <si>
    <t>São Paulo, SP</t>
  </si>
  <si>
    <t>São José do Rio Preto, SP</t>
  </si>
  <si>
    <t>Unidade</t>
  </si>
  <si>
    <t>L0C35;L0C-4^</t>
  </si>
  <si>
    <t>Não se aplica¹</t>
  </si>
  <si>
    <t>Impermeabilização de áreas úmidas (banheiros, cozinhas, sacadas, lavanderia)</t>
  </si>
  <si>
    <t>Síntese do Memorial Descritivo - Aquisição de Imóvel Novo: Casa</t>
  </si>
  <si>
    <t>Sim</t>
  </si>
  <si>
    <t>Não</t>
  </si>
  <si>
    <t>Modelos Padronizados Caixa</t>
  </si>
  <si>
    <t>Orientações para Preenchimento</t>
  </si>
  <si>
    <t>(versão com macros, testadas nas versões Excel 2003 a 2013)</t>
  </si>
  <si>
    <t>Oriente-se pelo seguinte esquema de cores para o preenchimento de informações:</t>
  </si>
  <si>
    <t>Não modifique nada em campos de outras cores (branco, cinza, preto, hachurado...): eles podem conter fórmulas importantes, que invalidem o modelo se forem apagados.</t>
  </si>
  <si>
    <t>Proposta de Financiamento de Unidade Isolada</t>
  </si>
  <si>
    <t>Observações:</t>
  </si>
  <si>
    <t>1.01</t>
  </si>
  <si>
    <t>1.02</t>
  </si>
  <si>
    <t>1.03</t>
  </si>
  <si>
    <r>
      <t xml:space="preserve">Os documentos devem ser </t>
    </r>
    <r>
      <rPr>
        <b/>
        <sz val="9"/>
        <rFont val="Arial"/>
        <family val="2"/>
      </rPr>
      <t>entregues em arquivo digital e também impressos e assinados</t>
    </r>
    <r>
      <rPr>
        <sz val="9"/>
        <rFont val="Arial"/>
        <family val="2"/>
      </rPr>
      <t>.</t>
    </r>
  </si>
  <si>
    <t>1.04</t>
  </si>
  <si>
    <t>1.05</t>
  </si>
  <si>
    <t>endfim0</t>
  </si>
  <si>
    <t>Proponente</t>
  </si>
  <si>
    <t xml:space="preserve">Responsável Técnico - RT </t>
  </si>
  <si>
    <t>Nº CAU/CREA</t>
  </si>
  <si>
    <t>UF</t>
  </si>
  <si>
    <t>CPF RT</t>
  </si>
  <si>
    <t>Identificação do imóvel proposto</t>
  </si>
  <si>
    <t>Endereço</t>
  </si>
  <si>
    <t>Complemento</t>
  </si>
  <si>
    <t>Bairro</t>
  </si>
  <si>
    <t>CEP</t>
  </si>
  <si>
    <t>LD</t>
  </si>
  <si>
    <t>Local e data</t>
  </si>
  <si>
    <t>Nome:</t>
  </si>
  <si>
    <t>CPF:</t>
  </si>
  <si>
    <t>AE</t>
  </si>
  <si>
    <t>Responsável Técnico - Empresa contratada</t>
  </si>
  <si>
    <t>CAU/CREA:</t>
  </si>
  <si>
    <t>Processo número</t>
  </si>
  <si>
    <t>Prezado Proponente,</t>
  </si>
  <si>
    <r>
      <t xml:space="preserve">campos em </t>
    </r>
    <r>
      <rPr>
        <b/>
        <sz val="9"/>
        <rFont val="Arial"/>
        <family val="2"/>
      </rPr>
      <t>azul claro</t>
    </r>
    <r>
      <rPr>
        <sz val="9"/>
        <rFont val="Arial"/>
        <family val="2"/>
      </rPr>
      <t>, preenchidos pelo</t>
    </r>
    <r>
      <rPr>
        <b/>
        <sz val="9"/>
        <rFont val="Arial"/>
        <family val="2"/>
      </rPr>
      <t xml:space="preserve"> Responsável Técnico do proponente</t>
    </r>
    <r>
      <rPr>
        <sz val="9"/>
        <rFont val="Arial"/>
        <family val="2"/>
      </rPr>
      <t xml:space="preserve">; se houver </t>
    </r>
    <r>
      <rPr>
        <b/>
        <sz val="9"/>
        <rFont val="Arial"/>
        <family val="2"/>
      </rPr>
      <t>borda laranja</t>
    </r>
    <r>
      <rPr>
        <sz val="9"/>
        <rFont val="Arial"/>
        <family val="2"/>
      </rPr>
      <t xml:space="preserve">, selecione uma opção pré-cadastrada; quando for </t>
    </r>
    <r>
      <rPr>
        <b/>
        <sz val="9"/>
        <rFont val="Arial"/>
        <family val="2"/>
      </rPr>
      <t>borda cinza</t>
    </r>
    <r>
      <rPr>
        <sz val="9"/>
        <rFont val="Arial"/>
        <family val="2"/>
      </rPr>
      <t>, digite a informação solicitada.</t>
    </r>
  </si>
  <si>
    <r>
      <t xml:space="preserve">Caso os dados não tenham sido todos preenchidos, a CAIXA pode solicitar a </t>
    </r>
    <r>
      <rPr>
        <b/>
        <sz val="9"/>
        <rFont val="Arial"/>
        <family val="2"/>
      </rPr>
      <t>complementação da informação</t>
    </r>
    <r>
      <rPr>
        <sz val="9"/>
        <rFont val="Arial"/>
        <family val="2"/>
      </rPr>
      <t>, se esta for fundamental para a análise da proposta; neste caso, a não complementação da informação pode inviabilizar a proposta.</t>
    </r>
  </si>
  <si>
    <r>
      <t xml:space="preserve">Em caso de dúvidas, solicite outro arquivo original deste modelo à sua </t>
    </r>
    <r>
      <rPr>
        <b/>
        <sz val="9"/>
        <rFont val="Arial"/>
        <family val="2"/>
      </rPr>
      <t>Agência/SR/CCA</t>
    </r>
    <r>
      <rPr>
        <sz val="9"/>
        <rFont val="Arial"/>
        <family val="2"/>
      </rPr>
      <t xml:space="preserve"> de atendimento.</t>
    </r>
  </si>
  <si>
    <r>
      <t>Sugerimos</t>
    </r>
    <r>
      <rPr>
        <b/>
        <sz val="9"/>
        <rFont val="Arial"/>
        <family val="2"/>
      </rPr>
      <t xml:space="preserve"> sempre guardar o arquivo original em uma pasta segura e preencher uma cópia deste</t>
    </r>
    <r>
      <rPr>
        <sz val="9"/>
        <rFont val="Arial"/>
        <family val="2"/>
      </rPr>
      <t>, de forma a garantir a existência de um modelo válido, no caso de um erro qualquer no preenchimento dos dados.</t>
    </r>
  </si>
  <si>
    <t>IDENTIFICAÇÃO</t>
  </si>
  <si>
    <t>ELEMENTOS CONSTRUTIVOS UTILIZADOS EM OBRA</t>
  </si>
  <si>
    <t>Eu,</t>
  </si>
  <si>
    <t>, portador dos documentos identificados abaixo, responsável técnico</t>
  </si>
  <si>
    <t/>
  </si>
  <si>
    <t>pela execução da obra identificada, conforme ART/RRT nº</t>
  </si>
  <si>
    <t xml:space="preserve">, declaro as providências relatadas e o </t>
  </si>
  <si>
    <t>Impermeabilização de baldrames, radier, sapata corrida ou outro tipo de fundação</t>
  </si>
  <si>
    <t>Impermeabilização das três primeiras fiadas de alvenaria</t>
  </si>
  <si>
    <t>Casas geminadas em loteamentos: paredes geminação duplas, estendidas até o telhado, com fechamento do “oitão”</t>
  </si>
  <si>
    <t>Casas geminadas em condomínios: paredes de geminação duplas ou simples (atendida a NBR 15.575 ou com dimensão mínima de 19 cm), e estendidas até o telhado, com fechamento do "oitão"</t>
  </si>
  <si>
    <t>Cinta de amarração em concreto armado sobre todas as paredes portantes.</t>
  </si>
  <si>
    <t>Atendimento aos requisitos de desempenho da NBR 15.575</t>
  </si>
  <si>
    <t>Vergas em todas as portas e janelas, com apoio de, no mínimo, 20 cm; contravergas em todas as janelas, com vãos acima de 1,00 m</t>
  </si>
  <si>
    <t>Tratamento contra cupim em todo o tipo de madeira aplicada na estrutura de cobertura e das esquadrias (folhas, marcos, contra-marcos, caixilhos e alisares)</t>
  </si>
  <si>
    <t>L0C33;L0C-4^</t>
  </si>
  <si>
    <t>►</t>
  </si>
  <si>
    <r>
      <t>quadrinhos pretinhos, preenchidos pelo</t>
    </r>
    <r>
      <rPr>
        <b/>
        <sz val="9"/>
        <rFont val="Arial"/>
        <family val="2"/>
      </rPr>
      <t xml:space="preserve"> Responsável Técnico do proponente</t>
    </r>
    <r>
      <rPr>
        <sz val="9"/>
        <rFont val="Arial"/>
        <family val="2"/>
      </rPr>
      <t xml:space="preserve">; clique no quadrinho correspondente à resposta correta; a seleção de uma resposta, </t>
    </r>
    <r>
      <rPr>
        <b/>
        <sz val="9"/>
        <rFont val="Arial"/>
        <family val="2"/>
      </rPr>
      <t>normalmente,</t>
    </r>
    <r>
      <rPr>
        <sz val="9"/>
        <rFont val="Arial"/>
        <family val="2"/>
      </rPr>
      <t xml:space="preserve"> anula outra do mesmo grupo, exceto quando a pergunta admitir mais de uma resposta; selecionar uma resposta já selecionada anula esta mesma (desmarca a resposta já selecionada).</t>
    </r>
  </si>
  <si>
    <r>
      <t>Preencha todos os campos em azul claro e todos os quadrinhos pretinhos</t>
    </r>
    <r>
      <rPr>
        <sz val="9"/>
        <rFont val="Arial"/>
        <family val="2"/>
      </rPr>
      <t>, podendo ignorar aqueles marcados como opcionais.</t>
    </r>
  </si>
  <si>
    <t>Tipo de fundação e sistema estrutural compatível com as características do solo e da edificação</t>
  </si>
  <si>
    <t>Todas as alvenarias de vedação executadas sem função estrutural</t>
  </si>
  <si>
    <t xml:space="preserve">     </t>
  </si>
  <si>
    <t>#PÚBLICO</t>
  </si>
  <si>
    <t xml:space="preserve">uso de materiais de construção com qualificação ou certificação em conformidade com as Normas, em especial as marcas consideradas  </t>
  </si>
  <si>
    <t xml:space="preserve">conformes em seu respectivo PSQ (Programa Setorial de Qualidade). Declaro ainda estar ciente de que a inexistência ou insuficiência de </t>
  </si>
  <si>
    <t>quaisquer dos itens relatados a seguir, implicará nas devidas restrições/sanções legais pertinentes e não aceitação do imóvel como garantia.</t>
  </si>
  <si>
    <t>Decl. de Execução de Elementos Construtivos e Qualificação/Certificação do Material de Construção</t>
  </si>
  <si>
    <t>Sistema público de coleta de esgoto sanitário</t>
  </si>
  <si>
    <t>Se não houver sistema público de coleta de esgoto sanitário, a solução individual adotada atende aos requisitos da NBR 17.076 e não interfere, contamina ou prejudica as estruturas do imóvel ou existentes no entorno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</si>
</sst>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;;;"/>
    <numFmt numFmtId="165" formatCode="00000\-000"/>
    <numFmt numFmtId="166" formatCode="###\ ###\ 000\ 000\ 000"/>
    <numFmt numFmtId="167" formatCode="000&quot;.&quot;000&quot;.&quot;000&quot;-&quot;00"/>
  </numFmts>
  <fonts count="22" x14ac:knownFonts="1">
    <font>
      <sz val="10"/>
      <name val="Arial"/>
    </font>
    <font>
      <sz val="10"/>
      <name val="Arial"/>
    </font>
    <font>
      <sz val="11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12"/>
      <name val="Trebuchet MS"/>
      <family val="2"/>
    </font>
    <font>
      <sz val="10"/>
      <name val="Arial"/>
      <family val="2"/>
    </font>
    <font>
      <sz val="10"/>
      <name val="Trebuchet MS"/>
      <family val="2"/>
    </font>
    <font>
      <b/>
      <sz val="6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7"/>
      <name val="Arial"/>
      <family val="2"/>
    </font>
    <font>
      <sz val="8"/>
      <name val="Arial"/>
      <family val="2"/>
    </font>
    <font>
      <b/>
      <sz val="9"/>
      <color indexed="9"/>
      <name val="Arial"/>
      <family val="2"/>
    </font>
    <font>
      <b/>
      <sz val="10"/>
      <name val="Arial"/>
      <family val="2"/>
    </font>
    <font>
      <sz val="8"/>
      <color indexed="10"/>
      <name val="Arial"/>
      <family val="2"/>
    </font>
    <font>
      <b/>
      <sz val="8"/>
      <name val="Trebuchet MS"/>
      <family val="2"/>
    </font>
    <font>
      <b/>
      <sz val="9"/>
      <color indexed="10"/>
      <name val="Arial"/>
      <family val="2"/>
    </font>
    <font>
      <sz val="6"/>
      <name val="Arial"/>
      <family val="2"/>
    </font>
    <font>
      <sz val="7"/>
      <name val="Trebuchet MS"/>
      <family val="2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lightDown">
        <fgColor indexed="4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2"/>
        <bgColor indexed="64"/>
      </patternFill>
    </fill>
  </fills>
  <borders count="3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55"/>
      </top>
      <bottom style="medium">
        <color indexed="55"/>
      </bottom>
      <diagonal/>
    </border>
    <border>
      <left/>
      <right style="medium">
        <color indexed="55"/>
      </right>
      <top style="thin">
        <color indexed="55"/>
      </top>
      <bottom style="medium">
        <color indexed="55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medium">
        <color indexed="12"/>
      </left>
      <right/>
      <top/>
      <bottom/>
      <diagonal/>
    </border>
    <border>
      <left/>
      <right style="thin">
        <color indexed="22"/>
      </right>
      <top/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52"/>
      </left>
      <right style="thin">
        <color indexed="64"/>
      </right>
      <top style="thin">
        <color indexed="52"/>
      </top>
      <bottom style="thin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52"/>
      </top>
      <bottom style="thin">
        <color indexed="52"/>
      </bottom>
      <diagonal/>
    </border>
    <border>
      <left style="thin">
        <color indexed="64"/>
      </left>
      <right style="thin">
        <color indexed="52"/>
      </right>
      <top style="thin">
        <color indexed="52"/>
      </top>
      <bottom style="thin">
        <color indexed="52"/>
      </bottom>
      <diagonal/>
    </border>
    <border>
      <left/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 style="thin">
        <color indexed="22"/>
      </top>
      <bottom style="thin">
        <color indexed="64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/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0" fontId="1" fillId="2" borderId="0"/>
    <xf numFmtId="0" fontId="1" fillId="0" borderId="0"/>
    <xf numFmtId="49" fontId="1" fillId="0" borderId="0"/>
  </cellStyleXfs>
  <cellXfs count="163">
    <xf numFmtId="0" fontId="0" fillId="0" borderId="0" xfId="0"/>
    <xf numFmtId="0" fontId="5" fillId="0" borderId="2" xfId="2" applyFont="1" applyBorder="1" applyAlignment="1">
      <alignment vertical="center"/>
    </xf>
    <xf numFmtId="0" fontId="3" fillId="0" borderId="0" xfId="2" applyFont="1" applyAlignment="1">
      <alignment vertical="center"/>
    </xf>
    <xf numFmtId="0" fontId="6" fillId="0" borderId="0" xfId="2" applyFont="1" applyAlignment="1">
      <alignment vertical="center"/>
    </xf>
    <xf numFmtId="0" fontId="2" fillId="0" borderId="0" xfId="2" applyFont="1" applyAlignment="1">
      <alignment vertical="center"/>
    </xf>
    <xf numFmtId="0" fontId="5" fillId="0" borderId="0" xfId="2" applyFont="1" applyAlignment="1">
      <alignment vertical="center"/>
    </xf>
    <xf numFmtId="0" fontId="7" fillId="0" borderId="3" xfId="2" applyFont="1" applyBorder="1" applyAlignment="1">
      <alignment vertical="center"/>
    </xf>
    <xf numFmtId="0" fontId="6" fillId="0" borderId="0" xfId="2" applyFont="1" applyAlignment="1">
      <alignment horizontal="left"/>
    </xf>
    <xf numFmtId="0" fontId="6" fillId="0" borderId="0" xfId="2" applyFont="1"/>
    <xf numFmtId="0" fontId="4" fillId="0" borderId="0" xfId="2" applyFont="1"/>
    <xf numFmtId="0" fontId="10" fillId="0" borderId="0" xfId="2" applyFont="1" applyAlignment="1">
      <alignment horizontal="left"/>
    </xf>
    <xf numFmtId="0" fontId="10" fillId="0" borderId="0" xfId="2" applyFont="1"/>
    <xf numFmtId="0" fontId="1" fillId="0" borderId="0" xfId="2"/>
    <xf numFmtId="0" fontId="10" fillId="0" borderId="0" xfId="1" applyFont="1" applyFill="1" applyAlignment="1">
      <alignment vertical="center"/>
    </xf>
    <xf numFmtId="0" fontId="4" fillId="0" borderId="0" xfId="1" applyFont="1" applyFill="1"/>
    <xf numFmtId="0" fontId="1" fillId="0" borderId="0" xfId="1" applyFill="1"/>
    <xf numFmtId="0" fontId="6" fillId="0" borderId="0" xfId="1" applyFont="1" applyFill="1"/>
    <xf numFmtId="0" fontId="1" fillId="0" borderId="2" xfId="2" applyBorder="1"/>
    <xf numFmtId="0" fontId="0" fillId="0" borderId="0" xfId="0" applyAlignment="1">
      <alignment horizontal="center"/>
    </xf>
    <xf numFmtId="0" fontId="6" fillId="0" borderId="0" xfId="0" applyFont="1"/>
    <xf numFmtId="0" fontId="10" fillId="0" borderId="0" xfId="0" applyFont="1" applyAlignment="1">
      <alignment horizontal="left" vertical="center"/>
    </xf>
    <xf numFmtId="49" fontId="10" fillId="0" borderId="0" xfId="3" applyFont="1" applyAlignment="1">
      <alignment horizontal="left" vertical="center"/>
    </xf>
    <xf numFmtId="0" fontId="10" fillId="0" borderId="0" xfId="0" applyFont="1"/>
    <xf numFmtId="0" fontId="15" fillId="3" borderId="4" xfId="2" applyFont="1" applyFill="1" applyBorder="1" applyAlignment="1">
      <alignment horizontal="left" vertical="center"/>
    </xf>
    <xf numFmtId="0" fontId="9" fillId="3" borderId="4" xfId="2" applyFont="1" applyFill="1" applyBorder="1" applyAlignment="1">
      <alignment horizontal="left" vertical="center"/>
    </xf>
    <xf numFmtId="0" fontId="15" fillId="3" borderId="5" xfId="2" applyFont="1" applyFill="1" applyBorder="1" applyAlignment="1">
      <alignment horizontal="left" vertical="center"/>
    </xf>
    <xf numFmtId="0" fontId="13" fillId="0" borderId="0" xfId="2" applyFont="1" applyAlignment="1">
      <alignment horizontal="right"/>
    </xf>
    <xf numFmtId="164" fontId="13" fillId="0" borderId="0" xfId="2" applyNumberFormat="1" applyFont="1" applyAlignment="1">
      <alignment horizontal="right"/>
    </xf>
    <xf numFmtId="0" fontId="1" fillId="0" borderId="0" xfId="1" applyFill="1" applyAlignment="1">
      <alignment vertical="center"/>
    </xf>
    <xf numFmtId="0" fontId="13" fillId="0" borderId="0" xfId="1" applyFont="1" applyFill="1"/>
    <xf numFmtId="0" fontId="13" fillId="0" borderId="0" xfId="1" applyFont="1" applyFill="1" applyAlignment="1">
      <alignment horizontal="center" vertical="center"/>
    </xf>
    <xf numFmtId="0" fontId="13" fillId="0" borderId="0" xfId="1" applyFont="1" applyFill="1" applyAlignment="1">
      <alignment horizontal="right"/>
    </xf>
    <xf numFmtId="0" fontId="7" fillId="0" borderId="0" xfId="2" applyFont="1" applyAlignment="1">
      <alignment vertical="center"/>
    </xf>
    <xf numFmtId="0" fontId="13" fillId="0" borderId="0" xfId="2" applyFont="1" applyAlignment="1">
      <alignment horizontal="right" vertical="center"/>
    </xf>
    <xf numFmtId="0" fontId="17" fillId="0" borderId="0" xfId="2" applyFont="1" applyAlignment="1">
      <alignment vertical="center"/>
    </xf>
    <xf numFmtId="0" fontId="13" fillId="0" borderId="0" xfId="2" applyFont="1" applyAlignment="1">
      <alignment horizontal="right" vertical="top"/>
    </xf>
    <xf numFmtId="0" fontId="13" fillId="0" borderId="0" xfId="2" applyFont="1"/>
    <xf numFmtId="164" fontId="4" fillId="0" borderId="0" xfId="2" applyNumberFormat="1" applyFont="1"/>
    <xf numFmtId="0" fontId="13" fillId="0" borderId="0" xfId="1" applyFont="1" applyFill="1" applyAlignment="1">
      <alignment vertical="center"/>
    </xf>
    <xf numFmtId="0" fontId="13" fillId="0" borderId="6" xfId="1" applyFont="1" applyFill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9" fillId="0" borderId="0" xfId="2" applyFont="1"/>
    <xf numFmtId="0" fontId="8" fillId="0" borderId="0" xfId="2" applyFont="1"/>
    <xf numFmtId="0" fontId="8" fillId="0" borderId="0" xfId="0" applyFont="1"/>
    <xf numFmtId="0" fontId="10" fillId="0" borderId="0" xfId="2" applyFont="1" applyAlignment="1">
      <alignment vertical="center" wrapText="1"/>
    </xf>
    <xf numFmtId="0" fontId="6" fillId="0" borderId="0" xfId="0" applyFont="1" applyAlignment="1">
      <alignment horizontal="center"/>
    </xf>
    <xf numFmtId="0" fontId="0" fillId="0" borderId="7" xfId="0" applyBorder="1"/>
    <xf numFmtId="0" fontId="0" fillId="0" borderId="0" xfId="0" applyAlignment="1">
      <alignment horizontal="left" vertical="center" shrinkToFit="1"/>
    </xf>
    <xf numFmtId="0" fontId="13" fillId="0" borderId="0" xfId="2" applyFont="1" applyAlignment="1">
      <alignment horizontal="center"/>
    </xf>
    <xf numFmtId="0" fontId="1" fillId="0" borderId="3" xfId="1" applyFill="1" applyBorder="1"/>
    <xf numFmtId="0" fontId="1" fillId="0" borderId="3" xfId="2" applyBorder="1"/>
    <xf numFmtId="0" fontId="1" fillId="0" borderId="0" xfId="1" quotePrefix="1" applyFill="1"/>
    <xf numFmtId="0" fontId="20" fillId="0" borderId="8" xfId="2" applyFont="1" applyBorder="1" applyAlignment="1">
      <alignment horizontal="center" vertical="center"/>
    </xf>
    <xf numFmtId="49" fontId="13" fillId="0" borderId="0" xfId="1" applyNumberFormat="1" applyFont="1" applyFill="1" applyAlignment="1">
      <alignment horizontal="left" vertical="center" wrapText="1" indent="1"/>
    </xf>
    <xf numFmtId="0" fontId="20" fillId="0" borderId="0" xfId="1" applyFont="1" applyFill="1" applyAlignment="1">
      <alignment horizontal="center" vertical="center"/>
    </xf>
    <xf numFmtId="0" fontId="2" fillId="4" borderId="0" xfId="2" applyFont="1" applyFill="1" applyAlignment="1" applyProtection="1">
      <alignment vertical="center"/>
      <protection locked="0"/>
    </xf>
    <xf numFmtId="0" fontId="17" fillId="4" borderId="0" xfId="2" applyFont="1" applyFill="1" applyAlignment="1" applyProtection="1">
      <alignment vertical="center"/>
      <protection locked="0"/>
    </xf>
    <xf numFmtId="0" fontId="3" fillId="4" borderId="0" xfId="2" applyFont="1" applyFill="1" applyAlignment="1" applyProtection="1">
      <alignment vertical="center"/>
      <protection locked="0"/>
    </xf>
    <xf numFmtId="0" fontId="5" fillId="4" borderId="2" xfId="2" applyFont="1" applyFill="1" applyBorder="1" applyAlignment="1" applyProtection="1">
      <alignment vertical="center"/>
      <protection locked="0"/>
    </xf>
    <xf numFmtId="0" fontId="7" fillId="4" borderId="0" xfId="2" applyFont="1" applyFill="1" applyAlignment="1" applyProtection="1">
      <alignment vertical="center"/>
      <protection locked="0"/>
    </xf>
    <xf numFmtId="0" fontId="15" fillId="3" borderId="5" xfId="2" applyFont="1" applyFill="1" applyBorder="1" applyAlignment="1" applyProtection="1">
      <alignment horizontal="left" vertical="center"/>
      <protection locked="0"/>
    </xf>
    <xf numFmtId="0" fontId="0" fillId="5" borderId="0" xfId="0" applyFill="1" applyProtection="1">
      <protection locked="0"/>
    </xf>
    <xf numFmtId="0" fontId="12" fillId="5" borderId="0" xfId="2" applyFont="1" applyFill="1" applyAlignment="1" applyProtection="1">
      <alignment horizontal="right"/>
      <protection locked="0"/>
    </xf>
    <xf numFmtId="0" fontId="20" fillId="4" borderId="9" xfId="2" applyFont="1" applyFill="1" applyBorder="1" applyAlignment="1" applyProtection="1">
      <alignment horizontal="center" vertical="center"/>
      <protection locked="0"/>
    </xf>
    <xf numFmtId="0" fontId="4" fillId="4" borderId="0" xfId="2" applyFont="1" applyFill="1" applyAlignment="1" applyProtection="1">
      <alignment horizontal="center" textRotation="90"/>
      <protection locked="0"/>
    </xf>
    <xf numFmtId="0" fontId="16" fillId="0" borderId="0" xfId="0" applyFont="1" applyProtection="1">
      <protection locked="0"/>
    </xf>
    <xf numFmtId="0" fontId="12" fillId="0" borderId="0" xfId="2" applyFont="1" applyProtection="1">
      <protection locked="0"/>
    </xf>
    <xf numFmtId="0" fontId="5" fillId="0" borderId="2" xfId="2" applyFont="1" applyBorder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19" fillId="0" borderId="10" xfId="2" applyFont="1" applyBorder="1" applyAlignment="1">
      <alignment horizontal="left" vertical="center" wrapText="1"/>
    </xf>
    <xf numFmtId="0" fontId="19" fillId="0" borderId="11" xfId="2" applyFont="1" applyBorder="1" applyAlignment="1">
      <alignment horizontal="left" vertical="center" wrapText="1"/>
    </xf>
    <xf numFmtId="0" fontId="19" fillId="0" borderId="12" xfId="2" applyFont="1" applyBorder="1" applyAlignment="1">
      <alignment horizontal="left" vertical="center" wrapText="1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6" fillId="6" borderId="16" xfId="0" applyFont="1" applyFill="1" applyBorder="1" applyAlignment="1">
      <alignment horizontal="center"/>
    </xf>
    <xf numFmtId="0" fontId="6" fillId="6" borderId="17" xfId="0" applyFont="1" applyFill="1" applyBorder="1" applyAlignment="1">
      <alignment horizontal="center"/>
    </xf>
    <xf numFmtId="0" fontId="6" fillId="6" borderId="18" xfId="0" applyFont="1" applyFill="1" applyBorder="1" applyAlignment="1">
      <alignment horizontal="center"/>
    </xf>
    <xf numFmtId="0" fontId="10" fillId="0" borderId="0" xfId="2" applyFont="1" applyAlignment="1">
      <alignment horizontal="left" vertical="center" wrapText="1"/>
    </xf>
    <xf numFmtId="49" fontId="13" fillId="0" borderId="6" xfId="1" applyNumberFormat="1" applyFont="1" applyFill="1" applyBorder="1" applyAlignment="1">
      <alignment horizontal="left" vertical="center" wrapText="1" indent="1"/>
    </xf>
    <xf numFmtId="49" fontId="13" fillId="0" borderId="19" xfId="1" applyNumberFormat="1" applyFont="1" applyFill="1" applyBorder="1" applyAlignment="1">
      <alignment horizontal="left" vertical="center" wrapText="1" indent="1"/>
    </xf>
    <xf numFmtId="49" fontId="13" fillId="0" borderId="20" xfId="1" applyNumberFormat="1" applyFont="1" applyFill="1" applyBorder="1" applyAlignment="1">
      <alignment horizontal="left" vertical="center" wrapText="1" indent="1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0" fillId="0" borderId="10" xfId="2" applyFont="1" applyBorder="1" applyAlignment="1">
      <alignment horizontal="left" vertical="center" wrapText="1"/>
    </xf>
    <xf numFmtId="0" fontId="10" fillId="0" borderId="11" xfId="2" applyFont="1" applyBorder="1" applyAlignment="1">
      <alignment horizontal="left" vertical="center" wrapText="1"/>
    </xf>
    <xf numFmtId="0" fontId="10" fillId="0" borderId="12" xfId="2" applyFont="1" applyBorder="1" applyAlignment="1">
      <alignment horizontal="left" vertical="center" wrapText="1"/>
    </xf>
    <xf numFmtId="0" fontId="9" fillId="7" borderId="0" xfId="2" applyFont="1" applyFill="1" applyAlignment="1">
      <alignment horizontal="center" vertical="center" wrapText="1"/>
    </xf>
    <xf numFmtId="0" fontId="9" fillId="0" borderId="10" xfId="2" applyFont="1" applyBorder="1" applyAlignment="1">
      <alignment horizontal="left" vertical="center" wrapText="1"/>
    </xf>
    <xf numFmtId="0" fontId="9" fillId="0" borderId="11" xfId="2" applyFont="1" applyBorder="1" applyAlignment="1">
      <alignment horizontal="left" vertical="center" wrapText="1"/>
    </xf>
    <xf numFmtId="0" fontId="9" fillId="0" borderId="12" xfId="2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13" fillId="0" borderId="21" xfId="2" applyFont="1" applyBorder="1" applyAlignment="1">
      <alignment horizontal="left" vertical="center"/>
    </xf>
    <xf numFmtId="0" fontId="13" fillId="0" borderId="22" xfId="2" applyFont="1" applyBorder="1" applyAlignment="1">
      <alignment horizontal="left" vertical="center"/>
    </xf>
    <xf numFmtId="0" fontId="13" fillId="0" borderId="22" xfId="1" applyFont="1" applyFill="1" applyBorder="1" applyAlignment="1">
      <alignment horizontal="left" vertical="center" wrapText="1"/>
    </xf>
    <xf numFmtId="0" fontId="13" fillId="0" borderId="8" xfId="1" applyFont="1" applyFill="1" applyBorder="1" applyAlignment="1">
      <alignment horizontal="left" vertical="center" wrapText="1"/>
    </xf>
    <xf numFmtId="0" fontId="11" fillId="6" borderId="10" xfId="1" applyFont="1" applyFill="1" applyBorder="1" applyAlignment="1" applyProtection="1">
      <alignment horizontal="center" vertical="center"/>
      <protection locked="0"/>
    </xf>
    <xf numFmtId="0" fontId="11" fillId="6" borderId="11" xfId="1" applyFont="1" applyFill="1" applyBorder="1" applyAlignment="1" applyProtection="1">
      <alignment horizontal="center" vertical="center"/>
      <protection locked="0"/>
    </xf>
    <xf numFmtId="0" fontId="11" fillId="6" borderId="12" xfId="1" applyFont="1" applyFill="1" applyBorder="1" applyAlignment="1" applyProtection="1">
      <alignment horizontal="center" vertical="center"/>
      <protection locked="0"/>
    </xf>
    <xf numFmtId="49" fontId="11" fillId="6" borderId="6" xfId="2" applyNumberFormat="1" applyFont="1" applyFill="1" applyBorder="1" applyAlignment="1" applyProtection="1">
      <alignment horizontal="left" vertical="center" wrapText="1"/>
      <protection locked="0"/>
    </xf>
    <xf numFmtId="49" fontId="11" fillId="6" borderId="19" xfId="2" applyNumberFormat="1" applyFont="1" applyFill="1" applyBorder="1" applyAlignment="1" applyProtection="1">
      <alignment horizontal="left" vertical="center" wrapText="1"/>
      <protection locked="0"/>
    </xf>
    <xf numFmtId="49" fontId="11" fillId="6" borderId="20" xfId="2" applyNumberFormat="1" applyFont="1" applyFill="1" applyBorder="1" applyAlignment="1" applyProtection="1">
      <alignment horizontal="left" vertical="center" wrapText="1"/>
      <protection locked="0"/>
    </xf>
    <xf numFmtId="0" fontId="13" fillId="0" borderId="10" xfId="1" applyFont="1" applyFill="1" applyBorder="1" applyAlignment="1">
      <alignment horizontal="left" vertical="center" wrapText="1"/>
    </xf>
    <xf numFmtId="0" fontId="13" fillId="0" borderId="11" xfId="1" applyFont="1" applyFill="1" applyBorder="1" applyAlignment="1">
      <alignment horizontal="left" vertical="center" wrapText="1"/>
    </xf>
    <xf numFmtId="0" fontId="13" fillId="0" borderId="12" xfId="1" applyFont="1" applyFill="1" applyBorder="1" applyAlignment="1">
      <alignment horizontal="left" vertical="center" wrapText="1"/>
    </xf>
    <xf numFmtId="0" fontId="1" fillId="0" borderId="0" xfId="2" applyAlignment="1">
      <alignment horizontal="center"/>
    </xf>
    <xf numFmtId="0" fontId="4" fillId="0" borderId="6" xfId="1" applyFont="1" applyFill="1" applyBorder="1" applyAlignment="1">
      <alignment horizontal="left" vertical="center" wrapText="1"/>
    </xf>
    <xf numFmtId="0" fontId="4" fillId="0" borderId="19" xfId="1" applyFont="1" applyFill="1" applyBorder="1" applyAlignment="1">
      <alignment horizontal="left" vertical="center" wrapText="1"/>
    </xf>
    <xf numFmtId="0" fontId="4" fillId="0" borderId="0" xfId="1" applyFont="1" applyFill="1" applyAlignment="1">
      <alignment horizontal="left" vertical="center" wrapText="1"/>
    </xf>
    <xf numFmtId="0" fontId="4" fillId="0" borderId="8" xfId="1" applyFont="1" applyFill="1" applyBorder="1" applyAlignment="1">
      <alignment horizontal="left" vertical="center" wrapText="1"/>
    </xf>
    <xf numFmtId="0" fontId="11" fillId="6" borderId="10" xfId="1" applyFont="1" applyFill="1" applyBorder="1" applyAlignment="1" applyProtection="1">
      <alignment horizontal="left" vertical="center"/>
      <protection locked="0"/>
    </xf>
    <xf numFmtId="0" fontId="11" fillId="6" borderId="11" xfId="1" applyFont="1" applyFill="1" applyBorder="1" applyAlignment="1" applyProtection="1">
      <alignment horizontal="left" vertical="center"/>
      <protection locked="0"/>
    </xf>
    <xf numFmtId="0" fontId="11" fillId="6" borderId="12" xfId="1" applyFont="1" applyFill="1" applyBorder="1" applyAlignment="1" applyProtection="1">
      <alignment horizontal="left" vertical="center"/>
      <protection locked="0"/>
    </xf>
    <xf numFmtId="0" fontId="13" fillId="0" borderId="23" xfId="2" applyFont="1" applyBorder="1" applyAlignment="1">
      <alignment horizontal="left" vertical="center" wrapText="1"/>
    </xf>
    <xf numFmtId="0" fontId="13" fillId="0" borderId="24" xfId="2" applyFont="1" applyBorder="1" applyAlignment="1">
      <alignment horizontal="left" vertical="center" wrapText="1"/>
    </xf>
    <xf numFmtId="0" fontId="11" fillId="6" borderId="19" xfId="1" applyFont="1" applyFill="1" applyBorder="1" applyAlignment="1" applyProtection="1">
      <alignment horizontal="left" vertical="center"/>
      <protection locked="0"/>
    </xf>
    <xf numFmtId="0" fontId="11" fillId="6" borderId="1" xfId="1" applyFont="1" applyFill="1" applyBorder="1" applyAlignment="1" applyProtection="1">
      <alignment horizontal="left" vertical="center"/>
      <protection locked="0"/>
    </xf>
    <xf numFmtId="165" fontId="11" fillId="6" borderId="1" xfId="1" applyNumberFormat="1" applyFont="1" applyFill="1" applyBorder="1" applyAlignment="1" applyProtection="1">
      <alignment horizontal="left" vertical="center"/>
      <protection locked="0"/>
    </xf>
    <xf numFmtId="166" fontId="11" fillId="6" borderId="10" xfId="2" applyNumberFormat="1" applyFont="1" applyFill="1" applyBorder="1" applyAlignment="1" applyProtection="1">
      <alignment horizontal="left" vertical="center" wrapText="1"/>
      <protection locked="0"/>
    </xf>
    <xf numFmtId="166" fontId="11" fillId="6" borderId="11" xfId="2" applyNumberFormat="1" applyFont="1" applyFill="1" applyBorder="1" applyAlignment="1" applyProtection="1">
      <alignment horizontal="left" vertical="center" wrapText="1"/>
      <protection locked="0"/>
    </xf>
    <xf numFmtId="166" fontId="11" fillId="6" borderId="12" xfId="2" applyNumberFormat="1" applyFont="1" applyFill="1" applyBorder="1" applyAlignment="1" applyProtection="1">
      <alignment horizontal="left" vertical="center" wrapText="1"/>
      <protection locked="0"/>
    </xf>
    <xf numFmtId="0" fontId="11" fillId="6" borderId="19" xfId="2" applyFont="1" applyFill="1" applyBorder="1" applyAlignment="1" applyProtection="1">
      <alignment horizontal="left" vertical="center"/>
      <protection locked="0"/>
    </xf>
    <xf numFmtId="167" fontId="11" fillId="6" borderId="11" xfId="2" applyNumberFormat="1" applyFont="1" applyFill="1" applyBorder="1" applyAlignment="1" applyProtection="1">
      <alignment horizontal="left" vertical="center"/>
      <protection locked="0"/>
    </xf>
    <xf numFmtId="0" fontId="11" fillId="6" borderId="25" xfId="2" applyFont="1" applyFill="1" applyBorder="1" applyAlignment="1" applyProtection="1">
      <alignment horizontal="left" vertical="center"/>
      <protection locked="0"/>
    </xf>
    <xf numFmtId="0" fontId="4" fillId="0" borderId="0" xfId="2" applyFont="1" applyAlignment="1">
      <alignment horizontal="center" wrapText="1"/>
    </xf>
    <xf numFmtId="0" fontId="4" fillId="0" borderId="0" xfId="2" applyFont="1" applyAlignment="1">
      <alignment horizontal="center"/>
    </xf>
    <xf numFmtId="0" fontId="13" fillId="0" borderId="26" xfId="2" applyFont="1" applyBorder="1" applyAlignment="1">
      <alignment horizontal="center"/>
    </xf>
    <xf numFmtId="0" fontId="13" fillId="0" borderId="0" xfId="2" applyFont="1" applyAlignment="1">
      <alignment horizontal="center"/>
    </xf>
    <xf numFmtId="0" fontId="13" fillId="0" borderId="27" xfId="2" applyFont="1" applyBorder="1" applyAlignment="1">
      <alignment horizontal="center"/>
    </xf>
    <xf numFmtId="0" fontId="8" fillId="6" borderId="28" xfId="1" applyFont="1" applyFill="1" applyBorder="1" applyAlignment="1" applyProtection="1">
      <alignment horizontal="center" vertical="center" wrapText="1"/>
      <protection locked="0"/>
    </xf>
    <xf numFmtId="0" fontId="8" fillId="6" borderId="29" xfId="1" applyFont="1" applyFill="1" applyBorder="1" applyAlignment="1" applyProtection="1">
      <alignment horizontal="center" vertical="center" wrapText="1"/>
      <protection locked="0"/>
    </xf>
    <xf numFmtId="0" fontId="8" fillId="6" borderId="30" xfId="1" applyFont="1" applyFill="1" applyBorder="1" applyAlignment="1" applyProtection="1">
      <alignment horizontal="center" vertical="center" wrapText="1"/>
      <protection locked="0"/>
    </xf>
    <xf numFmtId="0" fontId="13" fillId="0" borderId="31" xfId="1" applyFont="1" applyFill="1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32" xfId="0" applyBorder="1" applyAlignment="1">
      <alignment horizontal="left" vertical="center" wrapText="1"/>
    </xf>
    <xf numFmtId="0" fontId="13" fillId="0" borderId="6" xfId="1" applyFont="1" applyFill="1" applyBorder="1" applyAlignment="1">
      <alignment horizontal="left" vertical="center" wrapText="1"/>
    </xf>
    <xf numFmtId="0" fontId="13" fillId="0" borderId="19" xfId="1" applyFont="1" applyFill="1" applyBorder="1" applyAlignment="1">
      <alignment horizontal="left" vertical="center" wrapText="1"/>
    </xf>
    <xf numFmtId="0" fontId="13" fillId="0" borderId="20" xfId="1" applyFont="1" applyFill="1" applyBorder="1" applyAlignment="1">
      <alignment horizontal="left" vertical="center" wrapText="1"/>
    </xf>
    <xf numFmtId="0" fontId="4" fillId="0" borderId="10" xfId="1" applyFont="1" applyFill="1" applyBorder="1" applyAlignment="1">
      <alignment horizontal="left" vertical="center"/>
    </xf>
    <xf numFmtId="0" fontId="4" fillId="0" borderId="11" xfId="1" applyFont="1" applyFill="1" applyBorder="1" applyAlignment="1">
      <alignment horizontal="left" vertical="center"/>
    </xf>
    <xf numFmtId="0" fontId="4" fillId="0" borderId="12" xfId="1" applyFont="1" applyFill="1" applyBorder="1" applyAlignment="1">
      <alignment horizontal="left" vertical="center"/>
    </xf>
    <xf numFmtId="0" fontId="1" fillId="0" borderId="19" xfId="1" applyFill="1" applyBorder="1" applyAlignment="1">
      <alignment horizontal="left" vertical="center" wrapText="1"/>
    </xf>
    <xf numFmtId="0" fontId="1" fillId="0" borderId="20" xfId="1" applyFill="1" applyBorder="1" applyAlignment="1">
      <alignment horizontal="left" vertical="center" wrapText="1"/>
    </xf>
    <xf numFmtId="0" fontId="11" fillId="6" borderId="10" xfId="1" applyFont="1" applyFill="1" applyBorder="1" applyAlignment="1" applyProtection="1">
      <alignment horizontal="left" vertical="center" wrapText="1"/>
      <protection locked="0"/>
    </xf>
    <xf numFmtId="0" fontId="0" fillId="6" borderId="11" xfId="0" applyFill="1" applyBorder="1" applyAlignment="1" applyProtection="1">
      <alignment horizontal="left" vertical="center" wrapText="1"/>
      <protection locked="0"/>
    </xf>
    <xf numFmtId="0" fontId="0" fillId="6" borderId="12" xfId="0" applyFill="1" applyBorder="1" applyAlignment="1" applyProtection="1">
      <alignment horizontal="left" vertical="center" wrapText="1"/>
      <protection locked="0"/>
    </xf>
    <xf numFmtId="0" fontId="0" fillId="0" borderId="20" xfId="0" applyBorder="1" applyAlignment="1">
      <alignment horizontal="left" vertical="center" wrapText="1"/>
    </xf>
    <xf numFmtId="49" fontId="8" fillId="0" borderId="33" xfId="2" applyNumberFormat="1" applyFont="1" applyBorder="1" applyAlignment="1">
      <alignment horizontal="center" vertical="top"/>
    </xf>
    <xf numFmtId="49" fontId="20" fillId="0" borderId="2" xfId="2" applyNumberFormat="1" applyFont="1" applyBorder="1" applyAlignment="1">
      <alignment horizontal="center" vertical="top"/>
    </xf>
    <xf numFmtId="49" fontId="20" fillId="0" borderId="34" xfId="2" applyNumberFormat="1" applyFont="1" applyBorder="1" applyAlignment="1">
      <alignment horizontal="center" vertical="top"/>
    </xf>
    <xf numFmtId="0" fontId="18" fillId="0" borderId="2" xfId="2" applyFont="1" applyBorder="1" applyAlignment="1">
      <alignment horizontal="center" vertical="center" shrinkToFit="1"/>
    </xf>
    <xf numFmtId="0" fontId="21" fillId="0" borderId="3" xfId="2" applyFont="1" applyBorder="1" applyAlignment="1">
      <alignment horizontal="center" vertical="center" wrapText="1"/>
    </xf>
    <xf numFmtId="0" fontId="11" fillId="6" borderId="35" xfId="1" applyFont="1" applyFill="1" applyBorder="1" applyAlignment="1" applyProtection="1">
      <alignment horizontal="center" vertical="center"/>
      <protection locked="0"/>
    </xf>
    <xf numFmtId="0" fontId="11" fillId="6" borderId="36" xfId="1" applyFont="1" applyFill="1" applyBorder="1" applyAlignment="1" applyProtection="1">
      <alignment horizontal="center" vertical="center"/>
      <protection locked="0"/>
    </xf>
    <xf numFmtId="167" fontId="11" fillId="6" borderId="12" xfId="1" applyNumberFormat="1" applyFont="1" applyFill="1" applyBorder="1" applyAlignment="1" applyProtection="1">
      <alignment horizontal="left" vertical="center"/>
      <protection locked="0"/>
    </xf>
    <xf numFmtId="167" fontId="11" fillId="6" borderId="1" xfId="1" applyNumberFormat="1" applyFont="1" applyFill="1" applyBorder="1" applyAlignment="1" applyProtection="1">
      <alignment horizontal="left" vertical="center"/>
      <protection locked="0"/>
    </xf>
    <xf numFmtId="0" fontId="4" fillId="0" borderId="10" xfId="1" applyFont="1" applyFill="1" applyBorder="1" applyAlignment="1">
      <alignment horizontal="left" vertical="center" wrapText="1"/>
    </xf>
    <xf numFmtId="0" fontId="4" fillId="0" borderId="11" xfId="1" applyFont="1" applyFill="1" applyBorder="1" applyAlignment="1">
      <alignment horizontal="left" vertical="center" wrapText="1"/>
    </xf>
    <xf numFmtId="0" fontId="4" fillId="0" borderId="12" xfId="1" applyFont="1" applyFill="1" applyBorder="1" applyAlignment="1">
      <alignment horizontal="left" vertical="center" wrapText="1"/>
    </xf>
    <xf numFmtId="0" fontId="12" fillId="0" borderId="10" xfId="1" applyFont="1" applyFill="1" applyBorder="1" applyAlignment="1">
      <alignment horizontal="left" vertical="center" wrapText="1"/>
    </xf>
  </cellXfs>
  <cellStyles count="4">
    <cellStyle name="Normal" xfId="0" builtinId="0"/>
    <cellStyle name="Normal_24DefProposta de construção de unidade isolada- v23" xfId="1" xr:uid="{26537107-02F3-4F72-802E-4E0D91000BFE}"/>
    <cellStyle name="Normal_LAE-OGU" xfId="2" xr:uid="{A8A196D7-D055-400A-9458-54CA198EF694}"/>
    <cellStyle name="Normal_Plan2" xfId="3" xr:uid="{D3A2D301-BF7D-4012-BC6D-2B37A581D8AB}"/>
  </cellStyles>
  <dxfs count="1"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76200</xdr:colOff>
      <xdr:row>1</xdr:row>
      <xdr:rowOff>22860</xdr:rowOff>
    </xdr:from>
    <xdr:to>
      <xdr:col>16</xdr:col>
      <xdr:colOff>95250</xdr:colOff>
      <xdr:row>2</xdr:row>
      <xdr:rowOff>95250</xdr:rowOff>
    </xdr:to>
    <xdr:pic>
      <xdr:nvPicPr>
        <xdr:cNvPr id="96919" name="lcaixa" descr="Logo_CAIXA.gif">
          <a:extLst>
            <a:ext uri="{FF2B5EF4-FFF2-40B4-BE49-F238E27FC236}">
              <a16:creationId xmlns:a16="http://schemas.microsoft.com/office/drawing/2014/main" id="{2B6A0233-40D5-E3B3-8130-F6CF8D662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440" y="60960"/>
          <a:ext cx="1356360" cy="274320"/>
        </a:xfrm>
        <a:prstGeom prst="rect">
          <a:avLst/>
        </a:prstGeom>
        <a:noFill/>
        <a:ln w="50800">
          <a:solidFill>
            <a:srgbClr val="FFFFFF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22860</xdr:colOff>
      <xdr:row>31</xdr:row>
      <xdr:rowOff>0</xdr:rowOff>
    </xdr:from>
    <xdr:to>
      <xdr:col>16</xdr:col>
      <xdr:colOff>47625</xdr:colOff>
      <xdr:row>33</xdr:row>
      <xdr:rowOff>114300</xdr:rowOff>
    </xdr:to>
    <xdr:pic>
      <xdr:nvPicPr>
        <xdr:cNvPr id="96920" name="lcaixa" descr="Logo_CAIXA.gif">
          <a:extLst>
            <a:ext uri="{FF2B5EF4-FFF2-40B4-BE49-F238E27FC236}">
              <a16:creationId xmlns:a16="http://schemas.microsoft.com/office/drawing/2014/main" id="{21843F69-3A0E-8582-D7FA-6985DA62A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4808220"/>
          <a:ext cx="1363980" cy="281940"/>
        </a:xfrm>
        <a:prstGeom prst="rect">
          <a:avLst/>
        </a:prstGeom>
        <a:noFill/>
        <a:ln w="50800">
          <a:solidFill>
            <a:srgbClr val="FFFFFF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38</xdr:col>
      <xdr:colOff>22860</xdr:colOff>
      <xdr:row>58</xdr:row>
      <xdr:rowOff>30480</xdr:rowOff>
    </xdr:from>
    <xdr:to>
      <xdr:col>38</xdr:col>
      <xdr:colOff>68580</xdr:colOff>
      <xdr:row>58</xdr:row>
      <xdr:rowOff>83820</xdr:rowOff>
    </xdr:to>
    <xdr:sp macro="" textlink="">
      <xdr:nvSpPr>
        <xdr:cNvPr id="96921" name="QOCJ,12.L0C0;L0C-34^">
          <a:extLst>
            <a:ext uri="{FF2B5EF4-FFF2-40B4-BE49-F238E27FC236}">
              <a16:creationId xmlns:a16="http://schemas.microsoft.com/office/drawing/2014/main" id="{C9A78058-9DDF-3699-B531-6A2ABBDF3120}"/>
            </a:ext>
          </a:extLst>
        </xdr:cNvPr>
        <xdr:cNvSpPr>
          <a:spLocks noChangeArrowheads="1"/>
        </xdr:cNvSpPr>
      </xdr:nvSpPr>
      <xdr:spPr bwMode="auto">
        <a:xfrm>
          <a:off x="5341620" y="7993380"/>
          <a:ext cx="45720" cy="53340"/>
        </a:xfrm>
        <a:prstGeom prst="rect">
          <a:avLst/>
        </a:prstGeom>
        <a:solidFill>
          <a:schemeClr val="tx1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22860</xdr:colOff>
      <xdr:row>58</xdr:row>
      <xdr:rowOff>30480</xdr:rowOff>
    </xdr:from>
    <xdr:to>
      <xdr:col>41</xdr:col>
      <xdr:colOff>68580</xdr:colOff>
      <xdr:row>58</xdr:row>
      <xdr:rowOff>83820</xdr:rowOff>
    </xdr:to>
    <xdr:sp macro="" textlink="">
      <xdr:nvSpPr>
        <xdr:cNvPr id="96922" name="QOCJ,22.L0C0;L0C-37^">
          <a:extLst>
            <a:ext uri="{FF2B5EF4-FFF2-40B4-BE49-F238E27FC236}">
              <a16:creationId xmlns:a16="http://schemas.microsoft.com/office/drawing/2014/main" id="{2028FCBA-1743-3527-6FFB-B1520D453A36}"/>
            </a:ext>
          </a:extLst>
        </xdr:cNvPr>
        <xdr:cNvSpPr>
          <a:spLocks noChangeArrowheads="1"/>
        </xdr:cNvSpPr>
      </xdr:nvSpPr>
      <xdr:spPr bwMode="auto">
        <a:xfrm>
          <a:off x="5844540" y="7993380"/>
          <a:ext cx="45720" cy="53340"/>
        </a:xfrm>
        <a:prstGeom prst="rect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38</xdr:col>
      <xdr:colOff>22860</xdr:colOff>
      <xdr:row>63</xdr:row>
      <xdr:rowOff>53340</xdr:rowOff>
    </xdr:from>
    <xdr:to>
      <xdr:col>38</xdr:col>
      <xdr:colOff>68580</xdr:colOff>
      <xdr:row>63</xdr:row>
      <xdr:rowOff>106680</xdr:rowOff>
    </xdr:to>
    <xdr:sp macro="" textlink="">
      <xdr:nvSpPr>
        <xdr:cNvPr id="96923" name="QOCI,13.L0C-32;L0C-34^">
          <a:extLst>
            <a:ext uri="{FF2B5EF4-FFF2-40B4-BE49-F238E27FC236}">
              <a16:creationId xmlns:a16="http://schemas.microsoft.com/office/drawing/2014/main" id="{F12FBD87-06EC-EAD7-84CB-A89E9264CB3A}"/>
            </a:ext>
          </a:extLst>
        </xdr:cNvPr>
        <xdr:cNvSpPr>
          <a:spLocks noChangeArrowheads="1"/>
        </xdr:cNvSpPr>
      </xdr:nvSpPr>
      <xdr:spPr bwMode="auto">
        <a:xfrm>
          <a:off x="5341620" y="8717280"/>
          <a:ext cx="45720" cy="53340"/>
        </a:xfrm>
        <a:prstGeom prst="rect">
          <a:avLst/>
        </a:prstGeom>
        <a:solidFill>
          <a:schemeClr val="tx1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22860</xdr:colOff>
      <xdr:row>63</xdr:row>
      <xdr:rowOff>53340</xdr:rowOff>
    </xdr:from>
    <xdr:to>
      <xdr:col>41</xdr:col>
      <xdr:colOff>68580</xdr:colOff>
      <xdr:row>63</xdr:row>
      <xdr:rowOff>106680</xdr:rowOff>
    </xdr:to>
    <xdr:sp macro="" textlink="">
      <xdr:nvSpPr>
        <xdr:cNvPr id="96924" name="QOCI,23.L0C-35;L0C-37^">
          <a:extLst>
            <a:ext uri="{FF2B5EF4-FFF2-40B4-BE49-F238E27FC236}">
              <a16:creationId xmlns:a16="http://schemas.microsoft.com/office/drawing/2014/main" id="{A9BDF108-5EB2-6DFF-E030-1A640CCEE91B}"/>
            </a:ext>
          </a:extLst>
        </xdr:cNvPr>
        <xdr:cNvSpPr>
          <a:spLocks noChangeArrowheads="1"/>
        </xdr:cNvSpPr>
      </xdr:nvSpPr>
      <xdr:spPr bwMode="auto">
        <a:xfrm>
          <a:off x="5844540" y="8717280"/>
          <a:ext cx="45720" cy="53340"/>
        </a:xfrm>
        <a:prstGeom prst="rect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44</xdr:col>
      <xdr:colOff>22860</xdr:colOff>
      <xdr:row>63</xdr:row>
      <xdr:rowOff>53340</xdr:rowOff>
    </xdr:from>
    <xdr:to>
      <xdr:col>44</xdr:col>
      <xdr:colOff>68580</xdr:colOff>
      <xdr:row>63</xdr:row>
      <xdr:rowOff>106680</xdr:rowOff>
    </xdr:to>
    <xdr:sp macro="" textlink="">
      <xdr:nvSpPr>
        <xdr:cNvPr id="96925" name="QOCI,33.L0C-38;L0C-40^">
          <a:extLst>
            <a:ext uri="{FF2B5EF4-FFF2-40B4-BE49-F238E27FC236}">
              <a16:creationId xmlns:a16="http://schemas.microsoft.com/office/drawing/2014/main" id="{A9CA5550-5E89-F53F-A64E-ED5EE80B75FF}"/>
            </a:ext>
          </a:extLst>
        </xdr:cNvPr>
        <xdr:cNvSpPr>
          <a:spLocks noChangeArrowheads="1"/>
        </xdr:cNvSpPr>
      </xdr:nvSpPr>
      <xdr:spPr bwMode="auto">
        <a:xfrm>
          <a:off x="6347460" y="8717280"/>
          <a:ext cx="45720" cy="53340"/>
        </a:xfrm>
        <a:prstGeom prst="rect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38</xdr:col>
      <xdr:colOff>22860</xdr:colOff>
      <xdr:row>59</xdr:row>
      <xdr:rowOff>30480</xdr:rowOff>
    </xdr:from>
    <xdr:to>
      <xdr:col>38</xdr:col>
      <xdr:colOff>68580</xdr:colOff>
      <xdr:row>59</xdr:row>
      <xdr:rowOff>83820</xdr:rowOff>
    </xdr:to>
    <xdr:sp macro="" textlink="">
      <xdr:nvSpPr>
        <xdr:cNvPr id="96926" name="QOCK,12.L0C0;L0C-34^">
          <a:extLst>
            <a:ext uri="{FF2B5EF4-FFF2-40B4-BE49-F238E27FC236}">
              <a16:creationId xmlns:a16="http://schemas.microsoft.com/office/drawing/2014/main" id="{17DA4EF8-2A7D-91C2-D0C5-43BEECC10E02}"/>
            </a:ext>
          </a:extLst>
        </xdr:cNvPr>
        <xdr:cNvSpPr>
          <a:spLocks noChangeArrowheads="1"/>
        </xdr:cNvSpPr>
      </xdr:nvSpPr>
      <xdr:spPr bwMode="auto">
        <a:xfrm>
          <a:off x="5341620" y="8145780"/>
          <a:ext cx="45720" cy="53340"/>
        </a:xfrm>
        <a:prstGeom prst="rect">
          <a:avLst/>
        </a:prstGeom>
        <a:solidFill>
          <a:schemeClr val="tx1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22860</xdr:colOff>
      <xdr:row>59</xdr:row>
      <xdr:rowOff>30480</xdr:rowOff>
    </xdr:from>
    <xdr:to>
      <xdr:col>41</xdr:col>
      <xdr:colOff>68580</xdr:colOff>
      <xdr:row>59</xdr:row>
      <xdr:rowOff>83820</xdr:rowOff>
    </xdr:to>
    <xdr:sp macro="" textlink="">
      <xdr:nvSpPr>
        <xdr:cNvPr id="96927" name="QOCK,22.L0C0;L0C-37^">
          <a:extLst>
            <a:ext uri="{FF2B5EF4-FFF2-40B4-BE49-F238E27FC236}">
              <a16:creationId xmlns:a16="http://schemas.microsoft.com/office/drawing/2014/main" id="{39FFE0FC-DAF9-5FA3-B235-D2795D92BDC3}"/>
            </a:ext>
          </a:extLst>
        </xdr:cNvPr>
        <xdr:cNvSpPr>
          <a:spLocks noChangeArrowheads="1"/>
        </xdr:cNvSpPr>
      </xdr:nvSpPr>
      <xdr:spPr bwMode="auto">
        <a:xfrm>
          <a:off x="5844540" y="8145780"/>
          <a:ext cx="45720" cy="53340"/>
        </a:xfrm>
        <a:prstGeom prst="rect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38</xdr:col>
      <xdr:colOff>22860</xdr:colOff>
      <xdr:row>60</xdr:row>
      <xdr:rowOff>30480</xdr:rowOff>
    </xdr:from>
    <xdr:to>
      <xdr:col>38</xdr:col>
      <xdr:colOff>68580</xdr:colOff>
      <xdr:row>60</xdr:row>
      <xdr:rowOff>83820</xdr:rowOff>
    </xdr:to>
    <xdr:sp macro="" textlink="">
      <xdr:nvSpPr>
        <xdr:cNvPr id="96928" name="QOCL,12.L0C0;L0C-34^">
          <a:extLst>
            <a:ext uri="{FF2B5EF4-FFF2-40B4-BE49-F238E27FC236}">
              <a16:creationId xmlns:a16="http://schemas.microsoft.com/office/drawing/2014/main" id="{85F2A6D3-4B25-7D26-DA60-7E0B92A45DC0}"/>
            </a:ext>
          </a:extLst>
        </xdr:cNvPr>
        <xdr:cNvSpPr>
          <a:spLocks noChangeArrowheads="1"/>
        </xdr:cNvSpPr>
      </xdr:nvSpPr>
      <xdr:spPr bwMode="auto">
        <a:xfrm>
          <a:off x="5341620" y="8282940"/>
          <a:ext cx="45720" cy="53340"/>
        </a:xfrm>
        <a:prstGeom prst="rect">
          <a:avLst/>
        </a:prstGeom>
        <a:solidFill>
          <a:schemeClr val="tx1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22860</xdr:colOff>
      <xdr:row>60</xdr:row>
      <xdr:rowOff>30480</xdr:rowOff>
    </xdr:from>
    <xdr:to>
      <xdr:col>41</xdr:col>
      <xdr:colOff>68580</xdr:colOff>
      <xdr:row>60</xdr:row>
      <xdr:rowOff>83820</xdr:rowOff>
    </xdr:to>
    <xdr:sp macro="" textlink="">
      <xdr:nvSpPr>
        <xdr:cNvPr id="96929" name="QOCL,22.L0C0;L0C-37^">
          <a:extLst>
            <a:ext uri="{FF2B5EF4-FFF2-40B4-BE49-F238E27FC236}">
              <a16:creationId xmlns:a16="http://schemas.microsoft.com/office/drawing/2014/main" id="{A7D2EED1-6DB7-769F-86F4-DE285FBE3835}"/>
            </a:ext>
          </a:extLst>
        </xdr:cNvPr>
        <xdr:cNvSpPr>
          <a:spLocks noChangeArrowheads="1"/>
        </xdr:cNvSpPr>
      </xdr:nvSpPr>
      <xdr:spPr bwMode="auto">
        <a:xfrm>
          <a:off x="5844540" y="8282940"/>
          <a:ext cx="45720" cy="53340"/>
        </a:xfrm>
        <a:prstGeom prst="rect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38</xdr:col>
      <xdr:colOff>22860</xdr:colOff>
      <xdr:row>61</xdr:row>
      <xdr:rowOff>30480</xdr:rowOff>
    </xdr:from>
    <xdr:to>
      <xdr:col>38</xdr:col>
      <xdr:colOff>68580</xdr:colOff>
      <xdr:row>61</xdr:row>
      <xdr:rowOff>83820</xdr:rowOff>
    </xdr:to>
    <xdr:sp macro="" textlink="">
      <xdr:nvSpPr>
        <xdr:cNvPr id="96930" name="QOCM,12.L0C0;L0C-34^">
          <a:extLst>
            <a:ext uri="{FF2B5EF4-FFF2-40B4-BE49-F238E27FC236}">
              <a16:creationId xmlns:a16="http://schemas.microsoft.com/office/drawing/2014/main" id="{16A6EF93-1EA5-E4CC-66E5-58CBEAD906A5}"/>
            </a:ext>
          </a:extLst>
        </xdr:cNvPr>
        <xdr:cNvSpPr>
          <a:spLocks noChangeArrowheads="1"/>
        </xdr:cNvSpPr>
      </xdr:nvSpPr>
      <xdr:spPr bwMode="auto">
        <a:xfrm>
          <a:off x="5341620" y="8420100"/>
          <a:ext cx="45720" cy="53340"/>
        </a:xfrm>
        <a:prstGeom prst="rect">
          <a:avLst/>
        </a:prstGeom>
        <a:solidFill>
          <a:schemeClr val="tx1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22860</xdr:colOff>
      <xdr:row>61</xdr:row>
      <xdr:rowOff>30480</xdr:rowOff>
    </xdr:from>
    <xdr:to>
      <xdr:col>41</xdr:col>
      <xdr:colOff>68580</xdr:colOff>
      <xdr:row>61</xdr:row>
      <xdr:rowOff>83820</xdr:rowOff>
    </xdr:to>
    <xdr:sp macro="" textlink="">
      <xdr:nvSpPr>
        <xdr:cNvPr id="96931" name="QOCM,22.L0C0;L0C-37^">
          <a:extLst>
            <a:ext uri="{FF2B5EF4-FFF2-40B4-BE49-F238E27FC236}">
              <a16:creationId xmlns:a16="http://schemas.microsoft.com/office/drawing/2014/main" id="{C4739FDA-73C8-B9CF-E843-A3B120449C37}"/>
            </a:ext>
          </a:extLst>
        </xdr:cNvPr>
        <xdr:cNvSpPr>
          <a:spLocks noChangeArrowheads="1"/>
        </xdr:cNvSpPr>
      </xdr:nvSpPr>
      <xdr:spPr bwMode="auto">
        <a:xfrm>
          <a:off x="5844540" y="8420100"/>
          <a:ext cx="45720" cy="53340"/>
        </a:xfrm>
        <a:prstGeom prst="rect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38</xdr:col>
      <xdr:colOff>22860</xdr:colOff>
      <xdr:row>62</xdr:row>
      <xdr:rowOff>30480</xdr:rowOff>
    </xdr:from>
    <xdr:to>
      <xdr:col>38</xdr:col>
      <xdr:colOff>68580</xdr:colOff>
      <xdr:row>62</xdr:row>
      <xdr:rowOff>83820</xdr:rowOff>
    </xdr:to>
    <xdr:sp macro="" textlink="">
      <xdr:nvSpPr>
        <xdr:cNvPr id="96932" name="QO005,12.L0C0;L0C-34^">
          <a:extLst>
            <a:ext uri="{FF2B5EF4-FFF2-40B4-BE49-F238E27FC236}">
              <a16:creationId xmlns:a16="http://schemas.microsoft.com/office/drawing/2014/main" id="{51F48E00-5C1F-B517-5E3D-4DE676265B89}"/>
            </a:ext>
          </a:extLst>
        </xdr:cNvPr>
        <xdr:cNvSpPr>
          <a:spLocks noChangeArrowheads="1"/>
        </xdr:cNvSpPr>
      </xdr:nvSpPr>
      <xdr:spPr bwMode="auto">
        <a:xfrm>
          <a:off x="5341620" y="8557260"/>
          <a:ext cx="45720" cy="53340"/>
        </a:xfrm>
        <a:prstGeom prst="rect">
          <a:avLst/>
        </a:prstGeom>
        <a:solidFill>
          <a:schemeClr val="tx1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22860</xdr:colOff>
      <xdr:row>62</xdr:row>
      <xdr:rowOff>30480</xdr:rowOff>
    </xdr:from>
    <xdr:to>
      <xdr:col>41</xdr:col>
      <xdr:colOff>68580</xdr:colOff>
      <xdr:row>62</xdr:row>
      <xdr:rowOff>83820</xdr:rowOff>
    </xdr:to>
    <xdr:sp macro="" textlink="">
      <xdr:nvSpPr>
        <xdr:cNvPr id="96933" name="QO005,22.L0C0;L0C-37^">
          <a:extLst>
            <a:ext uri="{FF2B5EF4-FFF2-40B4-BE49-F238E27FC236}">
              <a16:creationId xmlns:a16="http://schemas.microsoft.com/office/drawing/2014/main" id="{E65DC6C1-948B-261B-CDE8-BF47C4E106EF}"/>
            </a:ext>
          </a:extLst>
        </xdr:cNvPr>
        <xdr:cNvSpPr>
          <a:spLocks noChangeArrowheads="1"/>
        </xdr:cNvSpPr>
      </xdr:nvSpPr>
      <xdr:spPr bwMode="auto">
        <a:xfrm>
          <a:off x="5844540" y="8557260"/>
          <a:ext cx="45720" cy="53340"/>
        </a:xfrm>
        <a:prstGeom prst="rect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38</xdr:col>
      <xdr:colOff>22860</xdr:colOff>
      <xdr:row>64</xdr:row>
      <xdr:rowOff>83820</xdr:rowOff>
    </xdr:from>
    <xdr:to>
      <xdr:col>38</xdr:col>
      <xdr:colOff>68580</xdr:colOff>
      <xdr:row>64</xdr:row>
      <xdr:rowOff>137160</xdr:rowOff>
    </xdr:to>
    <xdr:sp macro="" textlink="">
      <xdr:nvSpPr>
        <xdr:cNvPr id="96934" name="QOCN,13.L0C-32;L0C-34^">
          <a:extLst>
            <a:ext uri="{FF2B5EF4-FFF2-40B4-BE49-F238E27FC236}">
              <a16:creationId xmlns:a16="http://schemas.microsoft.com/office/drawing/2014/main" id="{6768D911-903A-E1EF-FDB2-D8B91D891114}"/>
            </a:ext>
          </a:extLst>
        </xdr:cNvPr>
        <xdr:cNvSpPr>
          <a:spLocks noChangeArrowheads="1"/>
        </xdr:cNvSpPr>
      </xdr:nvSpPr>
      <xdr:spPr bwMode="auto">
        <a:xfrm>
          <a:off x="5341620" y="8976360"/>
          <a:ext cx="45720" cy="53340"/>
        </a:xfrm>
        <a:prstGeom prst="rect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41</xdr:col>
      <xdr:colOff>22860</xdr:colOff>
      <xdr:row>64</xdr:row>
      <xdr:rowOff>83820</xdr:rowOff>
    </xdr:from>
    <xdr:to>
      <xdr:col>41</xdr:col>
      <xdr:colOff>68580</xdr:colOff>
      <xdr:row>64</xdr:row>
      <xdr:rowOff>137160</xdr:rowOff>
    </xdr:to>
    <xdr:sp macro="" textlink="">
      <xdr:nvSpPr>
        <xdr:cNvPr id="96935" name="QOCN,23.L0C-35;L0C-37^">
          <a:extLst>
            <a:ext uri="{FF2B5EF4-FFF2-40B4-BE49-F238E27FC236}">
              <a16:creationId xmlns:a16="http://schemas.microsoft.com/office/drawing/2014/main" id="{6B57928C-E65D-FD03-DAEC-60BC48B094E8}"/>
            </a:ext>
          </a:extLst>
        </xdr:cNvPr>
        <xdr:cNvSpPr>
          <a:spLocks noChangeArrowheads="1"/>
        </xdr:cNvSpPr>
      </xdr:nvSpPr>
      <xdr:spPr bwMode="auto">
        <a:xfrm>
          <a:off x="5844540" y="8976360"/>
          <a:ext cx="45720" cy="53340"/>
        </a:xfrm>
        <a:prstGeom prst="rect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44</xdr:col>
      <xdr:colOff>22860</xdr:colOff>
      <xdr:row>64</xdr:row>
      <xdr:rowOff>83820</xdr:rowOff>
    </xdr:from>
    <xdr:to>
      <xdr:col>44</xdr:col>
      <xdr:colOff>68580</xdr:colOff>
      <xdr:row>64</xdr:row>
      <xdr:rowOff>137160</xdr:rowOff>
    </xdr:to>
    <xdr:sp macro="" textlink="">
      <xdr:nvSpPr>
        <xdr:cNvPr id="96936" name="QOCN,33.L0C-38;L0C-40^">
          <a:extLst>
            <a:ext uri="{FF2B5EF4-FFF2-40B4-BE49-F238E27FC236}">
              <a16:creationId xmlns:a16="http://schemas.microsoft.com/office/drawing/2014/main" id="{DA94D764-8817-02C7-6F37-7E86E1D66328}"/>
            </a:ext>
          </a:extLst>
        </xdr:cNvPr>
        <xdr:cNvSpPr>
          <a:spLocks noChangeArrowheads="1"/>
        </xdr:cNvSpPr>
      </xdr:nvSpPr>
      <xdr:spPr bwMode="auto">
        <a:xfrm>
          <a:off x="6347460" y="8976360"/>
          <a:ext cx="45720" cy="53340"/>
        </a:xfrm>
        <a:prstGeom prst="rect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38</xdr:col>
      <xdr:colOff>22860</xdr:colOff>
      <xdr:row>65</xdr:row>
      <xdr:rowOff>22860</xdr:rowOff>
    </xdr:from>
    <xdr:to>
      <xdr:col>38</xdr:col>
      <xdr:colOff>68580</xdr:colOff>
      <xdr:row>65</xdr:row>
      <xdr:rowOff>76200</xdr:rowOff>
    </xdr:to>
    <xdr:sp macro="" textlink="">
      <xdr:nvSpPr>
        <xdr:cNvPr id="96937" name="QO008,12.L0C0;L0C-34^">
          <a:extLst>
            <a:ext uri="{FF2B5EF4-FFF2-40B4-BE49-F238E27FC236}">
              <a16:creationId xmlns:a16="http://schemas.microsoft.com/office/drawing/2014/main" id="{5C121D49-2F36-54C6-3A33-5F72A66166BA}"/>
            </a:ext>
          </a:extLst>
        </xdr:cNvPr>
        <xdr:cNvSpPr>
          <a:spLocks noChangeArrowheads="1"/>
        </xdr:cNvSpPr>
      </xdr:nvSpPr>
      <xdr:spPr bwMode="auto">
        <a:xfrm>
          <a:off x="5341620" y="9227820"/>
          <a:ext cx="45720" cy="53340"/>
        </a:xfrm>
        <a:prstGeom prst="rect">
          <a:avLst/>
        </a:prstGeom>
        <a:solidFill>
          <a:schemeClr val="tx1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22860</xdr:colOff>
      <xdr:row>65</xdr:row>
      <xdr:rowOff>22860</xdr:rowOff>
    </xdr:from>
    <xdr:to>
      <xdr:col>41</xdr:col>
      <xdr:colOff>68580</xdr:colOff>
      <xdr:row>65</xdr:row>
      <xdr:rowOff>76200</xdr:rowOff>
    </xdr:to>
    <xdr:sp macro="" textlink="">
      <xdr:nvSpPr>
        <xdr:cNvPr id="96938" name="QO008,22.L0C0;L0C-37^">
          <a:extLst>
            <a:ext uri="{FF2B5EF4-FFF2-40B4-BE49-F238E27FC236}">
              <a16:creationId xmlns:a16="http://schemas.microsoft.com/office/drawing/2014/main" id="{DC7B97B0-5A5C-2D7A-497D-C7C76E223DD1}"/>
            </a:ext>
          </a:extLst>
        </xdr:cNvPr>
        <xdr:cNvSpPr>
          <a:spLocks noChangeArrowheads="1"/>
        </xdr:cNvSpPr>
      </xdr:nvSpPr>
      <xdr:spPr bwMode="auto">
        <a:xfrm>
          <a:off x="5844540" y="9227820"/>
          <a:ext cx="45720" cy="53340"/>
        </a:xfrm>
        <a:prstGeom prst="rect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38</xdr:col>
      <xdr:colOff>22860</xdr:colOff>
      <xdr:row>66</xdr:row>
      <xdr:rowOff>68580</xdr:rowOff>
    </xdr:from>
    <xdr:to>
      <xdr:col>38</xdr:col>
      <xdr:colOff>68580</xdr:colOff>
      <xdr:row>66</xdr:row>
      <xdr:rowOff>121920</xdr:rowOff>
    </xdr:to>
    <xdr:sp macro="" textlink="">
      <xdr:nvSpPr>
        <xdr:cNvPr id="96939" name="QO009,12.L0C0;L0C-34^">
          <a:extLst>
            <a:ext uri="{FF2B5EF4-FFF2-40B4-BE49-F238E27FC236}">
              <a16:creationId xmlns:a16="http://schemas.microsoft.com/office/drawing/2014/main" id="{3BC2A2E9-94D6-9983-C2EA-50A40F72F2BF}"/>
            </a:ext>
          </a:extLst>
        </xdr:cNvPr>
        <xdr:cNvSpPr>
          <a:spLocks noChangeArrowheads="1"/>
        </xdr:cNvSpPr>
      </xdr:nvSpPr>
      <xdr:spPr bwMode="auto">
        <a:xfrm>
          <a:off x="5341620" y="9410700"/>
          <a:ext cx="45720" cy="53340"/>
        </a:xfrm>
        <a:prstGeom prst="rect">
          <a:avLst/>
        </a:prstGeom>
        <a:solidFill>
          <a:schemeClr val="tx1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22860</xdr:colOff>
      <xdr:row>66</xdr:row>
      <xdr:rowOff>68580</xdr:rowOff>
    </xdr:from>
    <xdr:to>
      <xdr:col>41</xdr:col>
      <xdr:colOff>68580</xdr:colOff>
      <xdr:row>66</xdr:row>
      <xdr:rowOff>121920</xdr:rowOff>
    </xdr:to>
    <xdr:sp macro="" textlink="">
      <xdr:nvSpPr>
        <xdr:cNvPr id="96940" name="QO009,22.L0C0;L0C-37^">
          <a:extLst>
            <a:ext uri="{FF2B5EF4-FFF2-40B4-BE49-F238E27FC236}">
              <a16:creationId xmlns:a16="http://schemas.microsoft.com/office/drawing/2014/main" id="{C6DC510C-3598-283B-D5B8-2883618C133E}"/>
            </a:ext>
          </a:extLst>
        </xdr:cNvPr>
        <xdr:cNvSpPr>
          <a:spLocks noChangeArrowheads="1"/>
        </xdr:cNvSpPr>
      </xdr:nvSpPr>
      <xdr:spPr bwMode="auto">
        <a:xfrm>
          <a:off x="5844540" y="9410700"/>
          <a:ext cx="45720" cy="53340"/>
        </a:xfrm>
        <a:prstGeom prst="rect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38</xdr:col>
      <xdr:colOff>22860</xdr:colOff>
      <xdr:row>67</xdr:row>
      <xdr:rowOff>68580</xdr:rowOff>
    </xdr:from>
    <xdr:to>
      <xdr:col>38</xdr:col>
      <xdr:colOff>68580</xdr:colOff>
      <xdr:row>67</xdr:row>
      <xdr:rowOff>121920</xdr:rowOff>
    </xdr:to>
    <xdr:sp macro="" textlink="">
      <xdr:nvSpPr>
        <xdr:cNvPr id="96941" name="QO010,12.L0C0;L0C-34^">
          <a:extLst>
            <a:ext uri="{FF2B5EF4-FFF2-40B4-BE49-F238E27FC236}">
              <a16:creationId xmlns:a16="http://schemas.microsoft.com/office/drawing/2014/main" id="{6315B8EB-6BC0-4DB2-C6D1-D2ED4933B7F1}"/>
            </a:ext>
          </a:extLst>
        </xdr:cNvPr>
        <xdr:cNvSpPr>
          <a:spLocks noChangeArrowheads="1"/>
        </xdr:cNvSpPr>
      </xdr:nvSpPr>
      <xdr:spPr bwMode="auto">
        <a:xfrm>
          <a:off x="5341620" y="9685020"/>
          <a:ext cx="45720" cy="53340"/>
        </a:xfrm>
        <a:prstGeom prst="rect">
          <a:avLst/>
        </a:prstGeom>
        <a:solidFill>
          <a:schemeClr val="tx1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22860</xdr:colOff>
      <xdr:row>67</xdr:row>
      <xdr:rowOff>68580</xdr:rowOff>
    </xdr:from>
    <xdr:to>
      <xdr:col>41</xdr:col>
      <xdr:colOff>68580</xdr:colOff>
      <xdr:row>67</xdr:row>
      <xdr:rowOff>121920</xdr:rowOff>
    </xdr:to>
    <xdr:sp macro="" textlink="">
      <xdr:nvSpPr>
        <xdr:cNvPr id="96942" name="QO010,22.L0C0;L0C-37^">
          <a:extLst>
            <a:ext uri="{FF2B5EF4-FFF2-40B4-BE49-F238E27FC236}">
              <a16:creationId xmlns:a16="http://schemas.microsoft.com/office/drawing/2014/main" id="{D1FB656F-DE5F-4452-94DA-8A4F71B4DAD3}"/>
            </a:ext>
          </a:extLst>
        </xdr:cNvPr>
        <xdr:cNvSpPr>
          <a:spLocks noChangeArrowheads="1"/>
        </xdr:cNvSpPr>
      </xdr:nvSpPr>
      <xdr:spPr bwMode="auto">
        <a:xfrm>
          <a:off x="5844540" y="9685020"/>
          <a:ext cx="45720" cy="53340"/>
        </a:xfrm>
        <a:prstGeom prst="rect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38</xdr:col>
      <xdr:colOff>22860</xdr:colOff>
      <xdr:row>68</xdr:row>
      <xdr:rowOff>22860</xdr:rowOff>
    </xdr:from>
    <xdr:to>
      <xdr:col>38</xdr:col>
      <xdr:colOff>68580</xdr:colOff>
      <xdr:row>68</xdr:row>
      <xdr:rowOff>76200</xdr:rowOff>
    </xdr:to>
    <xdr:sp macro="" textlink="">
      <xdr:nvSpPr>
        <xdr:cNvPr id="96943" name="QO011,12.L0C0;L0C-34^">
          <a:extLst>
            <a:ext uri="{FF2B5EF4-FFF2-40B4-BE49-F238E27FC236}">
              <a16:creationId xmlns:a16="http://schemas.microsoft.com/office/drawing/2014/main" id="{CE2BDD91-70FE-C709-1C78-B5541E6EFCB9}"/>
            </a:ext>
          </a:extLst>
        </xdr:cNvPr>
        <xdr:cNvSpPr>
          <a:spLocks noChangeArrowheads="1"/>
        </xdr:cNvSpPr>
      </xdr:nvSpPr>
      <xdr:spPr bwMode="auto">
        <a:xfrm>
          <a:off x="5341620" y="9913620"/>
          <a:ext cx="45720" cy="53340"/>
        </a:xfrm>
        <a:prstGeom prst="rect">
          <a:avLst/>
        </a:prstGeom>
        <a:solidFill>
          <a:schemeClr val="tx1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22860</xdr:colOff>
      <xdr:row>68</xdr:row>
      <xdr:rowOff>22860</xdr:rowOff>
    </xdr:from>
    <xdr:to>
      <xdr:col>41</xdr:col>
      <xdr:colOff>68580</xdr:colOff>
      <xdr:row>68</xdr:row>
      <xdr:rowOff>76200</xdr:rowOff>
    </xdr:to>
    <xdr:sp macro="" textlink="">
      <xdr:nvSpPr>
        <xdr:cNvPr id="96944" name="QO011,22.L0C0;L0C-37^">
          <a:extLst>
            <a:ext uri="{FF2B5EF4-FFF2-40B4-BE49-F238E27FC236}">
              <a16:creationId xmlns:a16="http://schemas.microsoft.com/office/drawing/2014/main" id="{6DCDDA32-C75B-9DC5-7EF8-DD3F20A08E20}"/>
            </a:ext>
          </a:extLst>
        </xdr:cNvPr>
        <xdr:cNvSpPr>
          <a:spLocks noChangeArrowheads="1"/>
        </xdr:cNvSpPr>
      </xdr:nvSpPr>
      <xdr:spPr bwMode="auto">
        <a:xfrm>
          <a:off x="5844540" y="9913620"/>
          <a:ext cx="45720" cy="53340"/>
        </a:xfrm>
        <a:prstGeom prst="rect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6</xdr:col>
      <xdr:colOff>22860</xdr:colOff>
      <xdr:row>12</xdr:row>
      <xdr:rowOff>30480</xdr:rowOff>
    </xdr:from>
    <xdr:to>
      <xdr:col>6</xdr:col>
      <xdr:colOff>99060</xdr:colOff>
      <xdr:row>12</xdr:row>
      <xdr:rowOff>91440</xdr:rowOff>
    </xdr:to>
    <xdr:sp macro="" textlink="">
      <xdr:nvSpPr>
        <xdr:cNvPr id="96945" name="Quad1">
          <a:extLst>
            <a:ext uri="{FF2B5EF4-FFF2-40B4-BE49-F238E27FC236}">
              <a16:creationId xmlns:a16="http://schemas.microsoft.com/office/drawing/2014/main" id="{2BDF4F59-E6E7-8E7D-52BA-7B9874135377}"/>
            </a:ext>
          </a:extLst>
        </xdr:cNvPr>
        <xdr:cNvSpPr>
          <a:spLocks noChangeArrowheads="1"/>
        </xdr:cNvSpPr>
      </xdr:nvSpPr>
      <xdr:spPr bwMode="auto">
        <a:xfrm>
          <a:off x="83820" y="1584960"/>
          <a:ext cx="76200" cy="60960"/>
        </a:xfrm>
        <a:prstGeom prst="rect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10</xdr:col>
      <xdr:colOff>22860</xdr:colOff>
      <xdr:row>12</xdr:row>
      <xdr:rowOff>30480</xdr:rowOff>
    </xdr:from>
    <xdr:to>
      <xdr:col>10</xdr:col>
      <xdr:colOff>99060</xdr:colOff>
      <xdr:row>12</xdr:row>
      <xdr:rowOff>91440</xdr:rowOff>
    </xdr:to>
    <xdr:sp macro="" textlink="">
      <xdr:nvSpPr>
        <xdr:cNvPr id="96946" name="Quad2">
          <a:extLst>
            <a:ext uri="{FF2B5EF4-FFF2-40B4-BE49-F238E27FC236}">
              <a16:creationId xmlns:a16="http://schemas.microsoft.com/office/drawing/2014/main" id="{A716C8EC-8AEA-AEEC-C1E1-6B6D0D9A711D}"/>
            </a:ext>
          </a:extLst>
        </xdr:cNvPr>
        <xdr:cNvSpPr>
          <a:spLocks noChangeArrowheads="1"/>
        </xdr:cNvSpPr>
      </xdr:nvSpPr>
      <xdr:spPr bwMode="auto">
        <a:xfrm>
          <a:off x="754380" y="1584960"/>
          <a:ext cx="76200" cy="609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3333" mc:Ignorable="a14" a14:legacySpreadsheetColorIndex="63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22860</xdr:colOff>
      <xdr:row>69</xdr:row>
      <xdr:rowOff>22860</xdr:rowOff>
    </xdr:from>
    <xdr:to>
      <xdr:col>38</xdr:col>
      <xdr:colOff>68580</xdr:colOff>
      <xdr:row>69</xdr:row>
      <xdr:rowOff>76200</xdr:rowOff>
    </xdr:to>
    <xdr:sp macro="" textlink="">
      <xdr:nvSpPr>
        <xdr:cNvPr id="96947" name="QO012,12.L0C0;L0C-34^">
          <a:extLst>
            <a:ext uri="{FF2B5EF4-FFF2-40B4-BE49-F238E27FC236}">
              <a16:creationId xmlns:a16="http://schemas.microsoft.com/office/drawing/2014/main" id="{81B666F6-F9F2-121F-6134-5F477DAE0822}"/>
            </a:ext>
          </a:extLst>
        </xdr:cNvPr>
        <xdr:cNvSpPr>
          <a:spLocks noChangeArrowheads="1"/>
        </xdr:cNvSpPr>
      </xdr:nvSpPr>
      <xdr:spPr bwMode="auto">
        <a:xfrm>
          <a:off x="5341620" y="10050780"/>
          <a:ext cx="45720" cy="53340"/>
        </a:xfrm>
        <a:prstGeom prst="rect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41</xdr:col>
      <xdr:colOff>22860</xdr:colOff>
      <xdr:row>69</xdr:row>
      <xdr:rowOff>22860</xdr:rowOff>
    </xdr:from>
    <xdr:to>
      <xdr:col>41</xdr:col>
      <xdr:colOff>68580</xdr:colOff>
      <xdr:row>69</xdr:row>
      <xdr:rowOff>76200</xdr:rowOff>
    </xdr:to>
    <xdr:sp macro="" textlink="">
      <xdr:nvSpPr>
        <xdr:cNvPr id="96948" name="QO012,22.L0C0;L0C-37^">
          <a:extLst>
            <a:ext uri="{FF2B5EF4-FFF2-40B4-BE49-F238E27FC236}">
              <a16:creationId xmlns:a16="http://schemas.microsoft.com/office/drawing/2014/main" id="{594CF2FC-016C-9073-9658-BB8E067F31A2}"/>
            </a:ext>
          </a:extLst>
        </xdr:cNvPr>
        <xdr:cNvSpPr>
          <a:spLocks noChangeArrowheads="1"/>
        </xdr:cNvSpPr>
      </xdr:nvSpPr>
      <xdr:spPr bwMode="auto">
        <a:xfrm>
          <a:off x="5844540" y="10050780"/>
          <a:ext cx="45720" cy="53340"/>
        </a:xfrm>
        <a:prstGeom prst="rect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38</xdr:col>
      <xdr:colOff>22860</xdr:colOff>
      <xdr:row>70</xdr:row>
      <xdr:rowOff>91440</xdr:rowOff>
    </xdr:from>
    <xdr:to>
      <xdr:col>38</xdr:col>
      <xdr:colOff>68580</xdr:colOff>
      <xdr:row>70</xdr:row>
      <xdr:rowOff>144780</xdr:rowOff>
    </xdr:to>
    <xdr:sp macro="" textlink="">
      <xdr:nvSpPr>
        <xdr:cNvPr id="96949" name="QO013,12.L0C0;L0C-34^">
          <a:extLst>
            <a:ext uri="{FF2B5EF4-FFF2-40B4-BE49-F238E27FC236}">
              <a16:creationId xmlns:a16="http://schemas.microsoft.com/office/drawing/2014/main" id="{2A7D5BAD-3038-5555-69B8-44E0A2CE3AC1}"/>
            </a:ext>
          </a:extLst>
        </xdr:cNvPr>
        <xdr:cNvSpPr>
          <a:spLocks noChangeArrowheads="1"/>
        </xdr:cNvSpPr>
      </xdr:nvSpPr>
      <xdr:spPr bwMode="auto">
        <a:xfrm>
          <a:off x="5341620" y="10256520"/>
          <a:ext cx="45720" cy="53340"/>
        </a:xfrm>
        <a:prstGeom prst="rect">
          <a:avLst/>
        </a:prstGeom>
        <a:solidFill>
          <a:schemeClr val="tx1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22860</xdr:colOff>
      <xdr:row>70</xdr:row>
      <xdr:rowOff>91440</xdr:rowOff>
    </xdr:from>
    <xdr:to>
      <xdr:col>41</xdr:col>
      <xdr:colOff>68580</xdr:colOff>
      <xdr:row>70</xdr:row>
      <xdr:rowOff>144780</xdr:rowOff>
    </xdr:to>
    <xdr:sp macro="" textlink="">
      <xdr:nvSpPr>
        <xdr:cNvPr id="96950" name="QO013,22.L0C0;L0C-37^">
          <a:extLst>
            <a:ext uri="{FF2B5EF4-FFF2-40B4-BE49-F238E27FC236}">
              <a16:creationId xmlns:a16="http://schemas.microsoft.com/office/drawing/2014/main" id="{9B5FB3DC-AA7E-2174-380C-749AEE16C691}"/>
            </a:ext>
          </a:extLst>
        </xdr:cNvPr>
        <xdr:cNvSpPr>
          <a:spLocks noChangeArrowheads="1"/>
        </xdr:cNvSpPr>
      </xdr:nvSpPr>
      <xdr:spPr bwMode="auto">
        <a:xfrm>
          <a:off x="5844540" y="10256520"/>
          <a:ext cx="45720" cy="53340"/>
        </a:xfrm>
        <a:prstGeom prst="rect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92AC2-518F-4718-B21B-3548625A1B44}">
  <sheetPr codeName="Plan1">
    <tabColor indexed="43"/>
    <pageSetUpPr fitToPage="1"/>
  </sheetPr>
  <dimension ref="A1:AX85"/>
  <sheetViews>
    <sheetView showGridLines="0" tabSelected="1" topLeftCell="F1" zoomScale="145" zoomScaleNormal="145" zoomScalePageLayoutView="77" workbookViewId="0">
      <selection activeCell="BJ65" sqref="BJ65"/>
    </sheetView>
  </sheetViews>
  <sheetFormatPr defaultColWidth="3.5546875" defaultRowHeight="13.2" x14ac:dyDescent="0.25"/>
  <cols>
    <col min="1" max="4" width="6.5546875" style="36" hidden="1" customWidth="1"/>
    <col min="5" max="5" width="6.5546875" style="26" hidden="1" customWidth="1"/>
    <col min="6" max="6" width="0.88671875" style="12" customWidth="1"/>
    <col min="7" max="27" width="2.44140625" style="12" customWidth="1"/>
    <col min="28" max="28" width="0.88671875" style="12" customWidth="1"/>
    <col min="29" max="49" width="2.44140625" style="12" customWidth="1"/>
    <col min="50" max="50" width="0.88671875" style="12" customWidth="1"/>
    <col min="51" max="16384" width="3.5546875" style="12"/>
  </cols>
  <sheetData>
    <row r="1" spans="1:50" s="28" customFormat="1" ht="3" customHeight="1" x14ac:dyDescent="0.25">
      <c r="A1" s="30" t="s">
        <v>0</v>
      </c>
      <c r="B1" s="38" t="s">
        <v>1</v>
      </c>
      <c r="C1" s="30" t="s">
        <v>2</v>
      </c>
      <c r="D1" s="30" t="s">
        <v>3</v>
      </c>
      <c r="E1" s="30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6"/>
      <c r="AI1" s="57"/>
    </row>
    <row r="2" spans="1:50" s="15" customFormat="1" ht="16.2" x14ac:dyDescent="0.25">
      <c r="A2" s="29"/>
      <c r="B2" s="29"/>
      <c r="C2" s="30"/>
      <c r="D2" s="30"/>
      <c r="E2" s="31"/>
      <c r="F2" s="1"/>
      <c r="G2" s="1"/>
      <c r="H2" s="1"/>
      <c r="I2" s="58"/>
      <c r="J2" s="58"/>
      <c r="K2" s="58"/>
      <c r="L2" s="58"/>
      <c r="M2" s="58"/>
      <c r="N2" s="58"/>
      <c r="O2" s="58"/>
      <c r="P2" s="58"/>
      <c r="Q2" s="58"/>
      <c r="R2" s="1"/>
      <c r="S2" s="1"/>
      <c r="T2" s="67" t="s">
        <v>167</v>
      </c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  <c r="AT2" s="67"/>
      <c r="AU2" s="67"/>
      <c r="AV2" s="1"/>
      <c r="AW2" s="1"/>
      <c r="AX2" s="1"/>
    </row>
    <row r="3" spans="1:50" s="15" customFormat="1" ht="14.4" x14ac:dyDescent="0.25">
      <c r="A3" s="29"/>
      <c r="B3" s="29"/>
      <c r="C3" s="30"/>
      <c r="D3" s="30"/>
      <c r="E3" s="31"/>
      <c r="F3" s="32"/>
      <c r="G3" s="32"/>
      <c r="H3" s="32"/>
      <c r="I3" s="59"/>
      <c r="J3" s="59"/>
      <c r="K3" s="59"/>
      <c r="L3" s="59"/>
      <c r="M3" s="59"/>
      <c r="N3" s="59"/>
      <c r="O3" s="59"/>
      <c r="P3" s="59"/>
      <c r="Q3" s="59"/>
      <c r="R3" s="32"/>
      <c r="S3" s="32"/>
      <c r="T3" s="68" t="s">
        <v>168</v>
      </c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32"/>
      <c r="AW3" s="32"/>
      <c r="AX3" s="32"/>
    </row>
    <row r="4" spans="1:50" s="15" customFormat="1" x14ac:dyDescent="0.25">
      <c r="A4" s="29">
        <v>1</v>
      </c>
      <c r="B4" s="29"/>
      <c r="C4" s="30"/>
      <c r="D4" s="30"/>
      <c r="E4" s="31"/>
      <c r="F4" s="11"/>
      <c r="G4" s="11"/>
      <c r="H4" s="11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69" t="s">
        <v>169</v>
      </c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69"/>
      <c r="AT4" s="69"/>
      <c r="AU4" s="69"/>
    </row>
    <row r="5" spans="1:50" s="15" customFormat="1" x14ac:dyDescent="0.25">
      <c r="A5" s="29"/>
      <c r="B5" s="29"/>
      <c r="C5" s="30"/>
      <c r="D5" s="30"/>
      <c r="E5" s="31"/>
      <c r="F5"/>
      <c r="G5" s="41" t="s">
        <v>199</v>
      </c>
      <c r="H5"/>
      <c r="I5"/>
      <c r="J5" s="19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</row>
    <row r="6" spans="1:50" s="15" customFormat="1" ht="3.9" customHeight="1" x14ac:dyDescent="0.25">
      <c r="A6" s="29"/>
      <c r="B6" s="29"/>
      <c r="C6" s="30"/>
      <c r="D6" s="30"/>
      <c r="E6" s="31"/>
      <c r="F6"/>
      <c r="G6" s="42"/>
      <c r="H6" s="42"/>
      <c r="I6" s="43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</row>
    <row r="7" spans="1:50" s="15" customFormat="1" x14ac:dyDescent="0.25">
      <c r="A7" s="29"/>
      <c r="B7" s="29"/>
      <c r="C7" s="30"/>
      <c r="D7" s="30"/>
      <c r="E7" s="31"/>
      <c r="F7"/>
      <c r="G7" s="11" t="s">
        <v>170</v>
      </c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</row>
    <row r="8" spans="1:50" s="15" customFormat="1" ht="3.9" customHeight="1" x14ac:dyDescent="0.25">
      <c r="A8" s="29"/>
      <c r="B8" s="29"/>
      <c r="C8" s="30"/>
      <c r="D8" s="30"/>
      <c r="E8" s="31"/>
      <c r="F8"/>
      <c r="G8" s="42"/>
      <c r="H8" s="42"/>
      <c r="I8" s="43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</row>
    <row r="9" spans="1:50" s="15" customFormat="1" ht="12.9" customHeight="1" x14ac:dyDescent="0.25">
      <c r="A9" s="29"/>
      <c r="B9" s="29"/>
      <c r="C9" s="30"/>
      <c r="D9" s="30"/>
      <c r="E9" s="31"/>
      <c r="F9"/>
      <c r="G9" s="73"/>
      <c r="H9" s="74"/>
      <c r="I9" s="75"/>
      <c r="J9"/>
      <c r="K9" s="76"/>
      <c r="L9" s="77"/>
      <c r="M9" s="78"/>
      <c r="N9"/>
      <c r="O9" s="79" t="s">
        <v>200</v>
      </c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79"/>
      <c r="AV9" s="79"/>
      <c r="AW9" s="79"/>
      <c r="AX9" s="44"/>
    </row>
    <row r="10" spans="1:50" s="15" customFormat="1" ht="12.9" customHeight="1" x14ac:dyDescent="0.25">
      <c r="A10" s="29"/>
      <c r="B10" s="29"/>
      <c r="C10" s="30"/>
      <c r="D10" s="30"/>
      <c r="E10" s="31"/>
      <c r="F10"/>
      <c r="G10" s="18"/>
      <c r="H10" s="18"/>
      <c r="I10" s="18"/>
      <c r="J10"/>
      <c r="K10" s="45"/>
      <c r="L10" s="45"/>
      <c r="M10" s="45"/>
      <c r="N10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79"/>
      <c r="AQ10" s="79"/>
      <c r="AR10" s="79"/>
      <c r="AS10" s="79"/>
      <c r="AT10" s="79"/>
      <c r="AU10" s="79"/>
      <c r="AV10" s="79"/>
      <c r="AW10" s="79"/>
      <c r="AX10" s="44"/>
    </row>
    <row r="11" spans="1:50" s="15" customFormat="1" x14ac:dyDescent="0.25">
      <c r="A11" s="29"/>
      <c r="B11" s="29"/>
      <c r="C11" s="30"/>
      <c r="D11" s="30"/>
      <c r="E11" s="31"/>
      <c r="F11"/>
      <c r="N11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AR11" s="79"/>
      <c r="AS11" s="79"/>
      <c r="AT11" s="79"/>
      <c r="AU11" s="79"/>
      <c r="AV11" s="79"/>
      <c r="AW11" s="79"/>
      <c r="AX11" s="44"/>
    </row>
    <row r="12" spans="1:50" s="15" customFormat="1" ht="3.9" customHeight="1" x14ac:dyDescent="0.25">
      <c r="A12" s="29"/>
      <c r="B12" s="29"/>
      <c r="C12" s="30"/>
      <c r="D12" s="30"/>
      <c r="E12" s="31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</row>
    <row r="13" spans="1:50" s="15" customFormat="1" ht="12.9" customHeight="1" x14ac:dyDescent="0.25">
      <c r="A13" s="29"/>
      <c r="B13" s="29"/>
      <c r="C13" s="30"/>
      <c r="D13" s="30"/>
      <c r="E13" s="31"/>
      <c r="F13"/>
      <c r="G13" s="80" t="s">
        <v>165</v>
      </c>
      <c r="H13" s="81"/>
      <c r="I13" s="82"/>
      <c r="J13" s="54" t="s">
        <v>220</v>
      </c>
      <c r="K13" s="80" t="s">
        <v>165</v>
      </c>
      <c r="L13" s="81"/>
      <c r="M13" s="82"/>
      <c r="N13"/>
      <c r="O13" s="79" t="s">
        <v>221</v>
      </c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79"/>
      <c r="AS13" s="79"/>
      <c r="AT13" s="79"/>
      <c r="AU13" s="79"/>
      <c r="AV13" s="79"/>
      <c r="AW13" s="79"/>
      <c r="AX13" s="44"/>
    </row>
    <row r="14" spans="1:50" s="15" customFormat="1" ht="12.9" customHeight="1" x14ac:dyDescent="0.25">
      <c r="A14" s="29"/>
      <c r="B14" s="29"/>
      <c r="C14" s="30"/>
      <c r="D14" s="30"/>
      <c r="E14" s="31"/>
      <c r="F14"/>
      <c r="G14" s="53"/>
      <c r="H14" s="53"/>
      <c r="I14" s="53"/>
      <c r="K14" s="53"/>
      <c r="L14" s="53"/>
      <c r="M14" s="53"/>
      <c r="N14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79"/>
      <c r="AS14" s="79"/>
      <c r="AT14" s="79"/>
      <c r="AU14" s="79"/>
      <c r="AV14" s="79"/>
      <c r="AW14" s="79"/>
      <c r="AX14" s="44"/>
    </row>
    <row r="15" spans="1:50" s="15" customFormat="1" ht="12.9" customHeight="1" x14ac:dyDescent="0.25">
      <c r="A15" s="29"/>
      <c r="B15" s="29"/>
      <c r="C15" s="30"/>
      <c r="D15" s="30"/>
      <c r="E15" s="31"/>
      <c r="F15"/>
      <c r="N15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79"/>
      <c r="AQ15" s="79"/>
      <c r="AR15" s="79"/>
      <c r="AS15" s="79"/>
      <c r="AT15" s="79"/>
      <c r="AU15" s="79"/>
      <c r="AV15" s="79"/>
      <c r="AW15" s="79"/>
      <c r="AX15" s="44"/>
    </row>
    <row r="16" spans="1:50" s="15" customFormat="1" x14ac:dyDescent="0.25">
      <c r="A16" s="29"/>
      <c r="B16" s="29"/>
      <c r="C16" s="30"/>
      <c r="D16" s="30"/>
      <c r="E16" s="31"/>
      <c r="F16"/>
      <c r="G16"/>
      <c r="H16"/>
      <c r="I16"/>
      <c r="J16"/>
      <c r="K16"/>
      <c r="L16"/>
      <c r="M16"/>
      <c r="N16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79"/>
      <c r="AS16" s="79"/>
      <c r="AT16" s="79"/>
      <c r="AU16" s="79"/>
      <c r="AV16" s="79"/>
      <c r="AW16" s="79"/>
      <c r="AX16" s="44"/>
    </row>
    <row r="17" spans="1:50" s="15" customFormat="1" ht="3.9" customHeight="1" x14ac:dyDescent="0.25">
      <c r="A17" s="29"/>
      <c r="B17" s="29"/>
      <c r="C17" s="30"/>
      <c r="D17" s="30"/>
      <c r="E17" s="31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</row>
    <row r="18" spans="1:50" s="15" customFormat="1" ht="27.9" customHeight="1" x14ac:dyDescent="0.25">
      <c r="A18" s="29"/>
      <c r="B18" s="29"/>
      <c r="C18" s="30"/>
      <c r="D18" s="30"/>
      <c r="E18" s="31"/>
      <c r="F18"/>
      <c r="G18" s="70" t="s">
        <v>171</v>
      </c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2"/>
    </row>
    <row r="19" spans="1:50" s="15" customFormat="1" ht="3.9" customHeight="1" x14ac:dyDescent="0.25">
      <c r="A19" s="29"/>
      <c r="B19" s="29"/>
      <c r="C19" s="30"/>
      <c r="D19" s="30"/>
      <c r="E19" s="31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</row>
    <row r="20" spans="1:50" s="15" customFormat="1" ht="12.9" customHeight="1" x14ac:dyDescent="0.25">
      <c r="A20" s="29"/>
      <c r="B20" s="29"/>
      <c r="C20" s="30"/>
      <c r="D20" s="30"/>
      <c r="E20" s="31"/>
      <c r="F20"/>
      <c r="G20" s="89" t="s">
        <v>172</v>
      </c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89"/>
      <c r="AQ20" s="89"/>
      <c r="AR20" s="89"/>
      <c r="AS20" s="89"/>
      <c r="AT20" s="89"/>
      <c r="AU20" s="89"/>
      <c r="AV20" s="89"/>
      <c r="AW20" s="89"/>
    </row>
    <row r="21" spans="1:50" s="15" customFormat="1" ht="3.9" customHeight="1" x14ac:dyDescent="0.25">
      <c r="A21" s="29"/>
      <c r="B21" s="29"/>
      <c r="C21" s="30"/>
      <c r="D21" s="30"/>
      <c r="E21" s="31"/>
      <c r="F21"/>
      <c r="G21" s="12"/>
      <c r="H21" s="12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</row>
    <row r="22" spans="1:50" customFormat="1" ht="12" customHeight="1" x14ac:dyDescent="0.25">
      <c r="A22" s="46"/>
      <c r="G22" s="83">
        <v>1</v>
      </c>
      <c r="H22" s="84"/>
      <c r="I22" s="85"/>
      <c r="K22" s="90" t="s">
        <v>173</v>
      </c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91"/>
      <c r="AT22" s="91"/>
      <c r="AU22" s="91"/>
      <c r="AV22" s="91"/>
      <c r="AW22" s="92"/>
    </row>
    <row r="23" spans="1:50" customFormat="1" ht="3.9" customHeight="1" x14ac:dyDescent="0.25">
      <c r="A23" s="46"/>
      <c r="G23" s="42"/>
      <c r="H23" s="42"/>
      <c r="I23" s="43"/>
    </row>
    <row r="24" spans="1:50" customFormat="1" ht="26.1" customHeight="1" x14ac:dyDescent="0.25">
      <c r="A24" s="46"/>
      <c r="E24" s="47"/>
      <c r="G24" s="83" t="s">
        <v>174</v>
      </c>
      <c r="H24" s="84"/>
      <c r="I24" s="85"/>
      <c r="K24" s="90" t="s">
        <v>222</v>
      </c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7"/>
      <c r="AQ24" s="87"/>
      <c r="AR24" s="87"/>
      <c r="AS24" s="87"/>
      <c r="AT24" s="87"/>
      <c r="AU24" s="87"/>
      <c r="AV24" s="87"/>
      <c r="AW24" s="88"/>
    </row>
    <row r="25" spans="1:50" customFormat="1" ht="38.25" customHeight="1" x14ac:dyDescent="0.25">
      <c r="A25" s="46"/>
      <c r="E25" s="47"/>
      <c r="G25" s="83" t="s">
        <v>175</v>
      </c>
      <c r="H25" s="84"/>
      <c r="I25" s="85"/>
      <c r="K25" s="86" t="s">
        <v>201</v>
      </c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3"/>
      <c r="AO25" s="93"/>
      <c r="AP25" s="93"/>
      <c r="AQ25" s="93"/>
      <c r="AR25" s="93"/>
      <c r="AS25" s="93"/>
      <c r="AT25" s="93"/>
      <c r="AU25" s="93"/>
      <c r="AV25" s="93"/>
      <c r="AW25" s="94"/>
    </row>
    <row r="26" spans="1:50" s="15" customFormat="1" ht="12.9" customHeight="1" x14ac:dyDescent="0.25">
      <c r="A26" s="29"/>
      <c r="B26" s="29"/>
      <c r="C26" s="30"/>
      <c r="D26" s="30"/>
      <c r="E26" s="31"/>
      <c r="F26"/>
      <c r="G26" s="83" t="s">
        <v>176</v>
      </c>
      <c r="H26" s="84"/>
      <c r="I26" s="85"/>
      <c r="J26" s="47"/>
      <c r="K26" s="86" t="s">
        <v>177</v>
      </c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7"/>
      <c r="AQ26" s="87"/>
      <c r="AR26" s="87"/>
      <c r="AS26" s="87"/>
      <c r="AT26" s="87"/>
      <c r="AU26" s="87"/>
      <c r="AV26" s="87"/>
      <c r="AW26" s="88"/>
    </row>
    <row r="27" spans="1:50" customFormat="1" ht="24.9" customHeight="1" x14ac:dyDescent="0.25">
      <c r="A27" s="46"/>
      <c r="E27" s="47"/>
      <c r="G27" s="83" t="s">
        <v>178</v>
      </c>
      <c r="H27" s="84"/>
      <c r="I27" s="85"/>
      <c r="K27" s="86" t="s">
        <v>203</v>
      </c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7"/>
      <c r="AQ27" s="87"/>
      <c r="AR27" s="87"/>
      <c r="AS27" s="87"/>
      <c r="AT27" s="87"/>
      <c r="AU27" s="87"/>
      <c r="AV27" s="87"/>
      <c r="AW27" s="88"/>
    </row>
    <row r="28" spans="1:50" customFormat="1" ht="12" customHeight="1" x14ac:dyDescent="0.25">
      <c r="A28" s="46"/>
      <c r="E28" s="47"/>
      <c r="G28" s="83" t="s">
        <v>179</v>
      </c>
      <c r="H28" s="84"/>
      <c r="I28" s="85"/>
      <c r="K28" s="86" t="s">
        <v>202</v>
      </c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7"/>
      <c r="AQ28" s="87"/>
      <c r="AR28" s="87"/>
      <c r="AS28" s="87"/>
      <c r="AT28" s="87"/>
      <c r="AU28" s="87"/>
      <c r="AV28" s="87"/>
      <c r="AW28" s="88"/>
    </row>
    <row r="29" spans="1:50" ht="12.9" customHeight="1" x14ac:dyDescent="0.25">
      <c r="C29" s="48"/>
      <c r="D29" s="48"/>
      <c r="F29" s="27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X29" s="27"/>
    </row>
    <row r="30" spans="1:50" ht="3.9" customHeight="1" x14ac:dyDescent="0.25">
      <c r="A30" s="36" t="e">
        <f>MATCH("mtde",E:E,0)</f>
        <v>#N/A</v>
      </c>
      <c r="B30" s="36" t="e">
        <f>MATCH("endfim2",E:E,0)</f>
        <v>#N/A</v>
      </c>
      <c r="E30" s="33"/>
      <c r="G30" s="34"/>
      <c r="H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3"/>
      <c r="AJ30" s="4"/>
    </row>
    <row r="31" spans="1:50" ht="9.9" customHeight="1" x14ac:dyDescent="0.25">
      <c r="A31" s="48" t="s">
        <v>0</v>
      </c>
      <c r="B31" s="36" t="s">
        <v>1</v>
      </c>
      <c r="C31" s="48" t="s">
        <v>2</v>
      </c>
      <c r="D31" s="48" t="s">
        <v>3</v>
      </c>
      <c r="E31" s="26" t="s">
        <v>4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135" t="s">
        <v>198</v>
      </c>
      <c r="AJ31" s="136"/>
      <c r="AK31" s="136"/>
      <c r="AL31" s="136"/>
      <c r="AM31" s="136"/>
      <c r="AN31" s="136"/>
      <c r="AO31" s="136"/>
      <c r="AP31" s="137"/>
      <c r="AQ31" s="15"/>
      <c r="AR31" s="129" t="s">
        <v>6</v>
      </c>
      <c r="AS31" s="130"/>
      <c r="AT31" s="130"/>
      <c r="AU31" s="130"/>
      <c r="AV31" s="130"/>
      <c r="AW31" s="131"/>
      <c r="AX31" s="17"/>
    </row>
    <row r="32" spans="1:50" ht="9.9" customHeight="1" x14ac:dyDescent="0.25">
      <c r="B32" s="36">
        <f>MATCH(MAX(C34:C79),C34:C79,0)+5</f>
        <v>21</v>
      </c>
      <c r="C32" s="36" t="e">
        <f>MATCH("D",D34:D79,0)+5</f>
        <v>#N/A</v>
      </c>
      <c r="D32" s="36" t="e">
        <f>MAX(C34:C0)</f>
        <v>#NAME?</v>
      </c>
      <c r="E32" s="35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132"/>
      <c r="AJ32" s="133"/>
      <c r="AK32" s="133"/>
      <c r="AL32" s="133"/>
      <c r="AM32" s="133"/>
      <c r="AN32" s="133"/>
      <c r="AO32" s="133"/>
      <c r="AP32" s="134"/>
      <c r="AQ32" s="49"/>
      <c r="AR32" s="150" t="s">
        <v>226</v>
      </c>
      <c r="AS32" s="151"/>
      <c r="AT32" s="151"/>
      <c r="AU32" s="151"/>
      <c r="AV32" s="151"/>
      <c r="AW32" s="152"/>
      <c r="AX32" s="50"/>
    </row>
    <row r="33" spans="3:50" ht="3.9" customHeight="1" x14ac:dyDescent="0.25"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8"/>
    </row>
    <row r="34" spans="3:50" ht="12" customHeight="1" x14ac:dyDescent="0.25"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53" t="s">
        <v>230</v>
      </c>
      <c r="S34" s="153"/>
      <c r="T34" s="153"/>
      <c r="U34" s="153"/>
      <c r="V34" s="153"/>
      <c r="W34" s="153"/>
      <c r="X34" s="153"/>
      <c r="Y34" s="153"/>
      <c r="Z34" s="153"/>
      <c r="AA34" s="153"/>
      <c r="AB34" s="153"/>
      <c r="AC34" s="153"/>
      <c r="AD34" s="153"/>
      <c r="AE34" s="153"/>
      <c r="AF34" s="153"/>
      <c r="AG34" s="153"/>
      <c r="AH34" s="153"/>
      <c r="AI34" s="153"/>
      <c r="AJ34" s="153"/>
      <c r="AK34" s="153"/>
      <c r="AL34" s="153"/>
      <c r="AM34" s="153"/>
      <c r="AN34" s="153"/>
      <c r="AO34" s="153"/>
      <c r="AP34" s="153"/>
      <c r="AQ34" s="153"/>
      <c r="AR34" s="153"/>
      <c r="AS34" s="153"/>
      <c r="AT34" s="153"/>
      <c r="AU34" s="153"/>
      <c r="AV34" s="153"/>
      <c r="AW34" s="153"/>
      <c r="AX34" s="17"/>
    </row>
    <row r="35" spans="3:50" ht="9.9" customHeight="1" x14ac:dyDescent="0.25"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154" t="s">
        <v>164</v>
      </c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54"/>
      <c r="AD35" s="154"/>
      <c r="AE35" s="154"/>
      <c r="AF35" s="154"/>
      <c r="AG35" s="154"/>
      <c r="AH35" s="154"/>
      <c r="AI35" s="154"/>
      <c r="AJ35" s="154"/>
      <c r="AK35" s="154"/>
      <c r="AL35" s="154"/>
      <c r="AM35" s="154"/>
      <c r="AN35" s="154"/>
      <c r="AO35" s="154"/>
      <c r="AP35" s="154"/>
      <c r="AQ35" s="154"/>
      <c r="AR35" s="154"/>
      <c r="AS35" s="154"/>
      <c r="AT35" s="154"/>
      <c r="AU35" s="154"/>
      <c r="AV35" s="154"/>
      <c r="AW35" s="154"/>
      <c r="AX35" s="50"/>
    </row>
    <row r="36" spans="3:50" ht="3.9" customHeight="1" x14ac:dyDescent="0.25"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9"/>
    </row>
    <row r="37" spans="3:50" ht="12" customHeight="1" thickBot="1" x14ac:dyDescent="0.3">
      <c r="F37" s="23"/>
      <c r="G37" s="24" t="s">
        <v>204</v>
      </c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5"/>
    </row>
    <row r="38" spans="3:50" ht="3.9" customHeight="1" x14ac:dyDescent="0.25">
      <c r="E38" s="26" t="s">
        <v>180</v>
      </c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9"/>
    </row>
    <row r="39" spans="3:50" ht="11.1" customHeight="1" x14ac:dyDescent="0.25">
      <c r="G39" s="138" t="s">
        <v>181</v>
      </c>
      <c r="H39" s="136"/>
      <c r="I39" s="136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36"/>
      <c r="AK39" s="136"/>
      <c r="AL39" s="136"/>
      <c r="AM39" s="136"/>
      <c r="AN39" s="136"/>
      <c r="AO39" s="136"/>
      <c r="AP39" s="136"/>
      <c r="AQ39" s="136"/>
      <c r="AR39" s="136"/>
      <c r="AS39" s="136"/>
      <c r="AT39" s="136"/>
      <c r="AU39" s="136"/>
      <c r="AV39" s="136"/>
      <c r="AW39" s="149"/>
    </row>
    <row r="40" spans="3:50" ht="11.1" customHeight="1" x14ac:dyDescent="0.25">
      <c r="C40" s="36">
        <v>1</v>
      </c>
      <c r="D40" s="36">
        <v>4</v>
      </c>
      <c r="G40" s="146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  <c r="AA40" s="147"/>
      <c r="AB40" s="147"/>
      <c r="AC40" s="147"/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8"/>
    </row>
    <row r="41" spans="3:50" ht="3.9" customHeight="1" x14ac:dyDescent="0.25"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4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5"/>
    </row>
    <row r="42" spans="3:50" ht="11.1" customHeight="1" x14ac:dyDescent="0.25">
      <c r="G42" s="138" t="s">
        <v>182</v>
      </c>
      <c r="H42" s="136"/>
      <c r="I42" s="136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49"/>
      <c r="AH42" s="138" t="s">
        <v>183</v>
      </c>
      <c r="AI42" s="136"/>
      <c r="AJ42" s="136"/>
      <c r="AK42" s="136"/>
      <c r="AL42" s="136"/>
      <c r="AM42" s="136"/>
      <c r="AN42" s="136"/>
      <c r="AO42" s="149"/>
      <c r="AP42" s="97" t="s">
        <v>184</v>
      </c>
      <c r="AQ42" s="98"/>
      <c r="AR42" s="138" t="s">
        <v>185</v>
      </c>
      <c r="AS42" s="136"/>
      <c r="AT42" s="136"/>
      <c r="AU42" s="136"/>
      <c r="AV42" s="136"/>
      <c r="AW42" s="149"/>
    </row>
    <row r="43" spans="3:50" ht="11.1" customHeight="1" x14ac:dyDescent="0.25">
      <c r="C43" s="36">
        <v>2</v>
      </c>
      <c r="D43" s="36">
        <v>6</v>
      </c>
      <c r="G43" s="146" t="s">
        <v>225</v>
      </c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  <c r="AA43" s="147"/>
      <c r="AB43" s="147"/>
      <c r="AC43" s="147"/>
      <c r="AD43" s="147"/>
      <c r="AE43" s="147"/>
      <c r="AF43" s="147"/>
      <c r="AG43" s="148"/>
      <c r="AH43" s="119"/>
      <c r="AI43" s="119"/>
      <c r="AJ43" s="119"/>
      <c r="AK43" s="119"/>
      <c r="AL43" s="119"/>
      <c r="AM43" s="119"/>
      <c r="AN43" s="119"/>
      <c r="AO43" s="113"/>
      <c r="AP43" s="155"/>
      <c r="AQ43" s="156"/>
      <c r="AR43" s="157"/>
      <c r="AS43" s="158"/>
      <c r="AT43" s="158"/>
      <c r="AU43" s="158"/>
      <c r="AV43" s="158"/>
      <c r="AW43" s="158"/>
    </row>
    <row r="44" spans="3:50" ht="3.9" customHeight="1" x14ac:dyDescent="0.25"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4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5"/>
    </row>
    <row r="45" spans="3:50" ht="11.1" customHeight="1" x14ac:dyDescent="0.25">
      <c r="G45" s="109" t="s">
        <v>186</v>
      </c>
      <c r="H45" s="144"/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44"/>
      <c r="Z45" s="144"/>
      <c r="AA45" s="144"/>
      <c r="AB45" s="144"/>
      <c r="AC45" s="144"/>
      <c r="AD45" s="144"/>
      <c r="AE45" s="144"/>
      <c r="AF45" s="144"/>
      <c r="AG45" s="144"/>
      <c r="AH45" s="144"/>
      <c r="AI45" s="144"/>
      <c r="AJ45" s="144"/>
      <c r="AK45" s="144"/>
      <c r="AL45" s="144"/>
      <c r="AM45" s="144"/>
      <c r="AN45" s="144"/>
      <c r="AO45" s="144"/>
      <c r="AP45" s="144"/>
      <c r="AQ45" s="144"/>
      <c r="AR45" s="144"/>
      <c r="AS45" s="144"/>
      <c r="AT45" s="144"/>
      <c r="AU45" s="144"/>
      <c r="AV45" s="144"/>
      <c r="AW45" s="145"/>
    </row>
    <row r="46" spans="3:50" ht="11.1" customHeight="1" x14ac:dyDescent="0.25">
      <c r="G46" s="105" t="s">
        <v>187</v>
      </c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4"/>
      <c r="AJ46" s="105" t="s">
        <v>188</v>
      </c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4"/>
    </row>
    <row r="47" spans="3:50" ht="11.1" customHeight="1" x14ac:dyDescent="0.25">
      <c r="C47" s="36">
        <v>3</v>
      </c>
      <c r="D47" s="36">
        <v>2</v>
      </c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  <c r="AA47" s="119"/>
      <c r="AB47" s="119"/>
      <c r="AC47" s="119"/>
      <c r="AD47" s="119"/>
      <c r="AE47" s="119"/>
      <c r="AF47" s="119"/>
      <c r="AG47" s="119"/>
      <c r="AH47" s="119"/>
      <c r="AI47" s="119"/>
      <c r="AJ47" s="119"/>
      <c r="AK47" s="119"/>
      <c r="AL47" s="119"/>
      <c r="AM47" s="119"/>
      <c r="AN47" s="119"/>
      <c r="AO47" s="119"/>
      <c r="AP47" s="119"/>
      <c r="AQ47" s="119"/>
      <c r="AR47" s="119"/>
      <c r="AS47" s="119"/>
      <c r="AT47" s="119"/>
      <c r="AU47" s="119"/>
      <c r="AV47" s="119"/>
      <c r="AW47" s="119"/>
    </row>
    <row r="48" spans="3:50" ht="11.1" customHeight="1" x14ac:dyDescent="0.25">
      <c r="G48" s="105" t="s">
        <v>189</v>
      </c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4"/>
      <c r="V48" s="105" t="s">
        <v>190</v>
      </c>
      <c r="W48" s="93"/>
      <c r="X48" s="93"/>
      <c r="Y48" s="93"/>
      <c r="Z48" s="94"/>
      <c r="AA48" s="105" t="s">
        <v>5</v>
      </c>
      <c r="AB48" s="93"/>
      <c r="AC48" s="93"/>
      <c r="AD48" s="93"/>
      <c r="AE48" s="93"/>
      <c r="AF48" s="93"/>
      <c r="AG48" s="93"/>
      <c r="AH48" s="93"/>
      <c r="AI48" s="93"/>
      <c r="AJ48" s="93"/>
      <c r="AK48" s="93"/>
      <c r="AL48" s="93"/>
      <c r="AM48" s="93"/>
      <c r="AN48" s="93"/>
      <c r="AO48" s="93"/>
      <c r="AP48" s="93"/>
      <c r="AQ48" s="93"/>
      <c r="AR48" s="93"/>
      <c r="AS48" s="93"/>
      <c r="AT48" s="94"/>
      <c r="AU48" s="105" t="s">
        <v>184</v>
      </c>
      <c r="AV48" s="106"/>
      <c r="AW48" s="107"/>
      <c r="AX48" s="15"/>
    </row>
    <row r="49" spans="1:50" ht="11.1" customHeight="1" x14ac:dyDescent="0.25">
      <c r="C49" s="36">
        <v>4</v>
      </c>
      <c r="D49" s="36">
        <v>4</v>
      </c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20"/>
      <c r="W49" s="120"/>
      <c r="X49" s="120"/>
      <c r="Y49" s="120"/>
      <c r="Z49" s="120"/>
      <c r="AA49" s="113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114"/>
      <c r="AM49" s="114"/>
      <c r="AN49" s="114"/>
      <c r="AO49" s="114"/>
      <c r="AP49" s="114"/>
      <c r="AQ49" s="114"/>
      <c r="AR49" s="114"/>
      <c r="AS49" s="114"/>
      <c r="AT49" s="115"/>
      <c r="AU49" s="99"/>
      <c r="AV49" s="100"/>
      <c r="AW49" s="101"/>
      <c r="AX49" s="15"/>
    </row>
    <row r="50" spans="1:50" ht="3.9" customHeight="1" x14ac:dyDescent="0.25"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9"/>
    </row>
    <row r="51" spans="1:50" ht="12" customHeight="1" thickBot="1" x14ac:dyDescent="0.3">
      <c r="F51" s="23"/>
      <c r="G51" s="24" t="s">
        <v>205</v>
      </c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60"/>
    </row>
    <row r="52" spans="1:50" ht="3.9" customHeight="1" x14ac:dyDescent="0.25">
      <c r="E52" s="26" t="s">
        <v>180</v>
      </c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9"/>
    </row>
    <row r="53" spans="1:50" s="15" customFormat="1" ht="12.9" customHeight="1" x14ac:dyDescent="0.25">
      <c r="A53" s="29"/>
      <c r="B53" s="30"/>
      <c r="C53" s="30">
        <f>C51+ 1</f>
        <v>1</v>
      </c>
      <c r="D53" s="30">
        <v>8</v>
      </c>
      <c r="E53" s="29"/>
      <c r="G53" s="39" t="s">
        <v>206</v>
      </c>
      <c r="H53" s="102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  <c r="AA53" s="104"/>
      <c r="AB53" s="109" t="s">
        <v>207</v>
      </c>
      <c r="AC53" s="110"/>
      <c r="AD53" s="110"/>
      <c r="AE53" s="110"/>
      <c r="AF53" s="110"/>
      <c r="AG53" s="110"/>
      <c r="AH53" s="110"/>
      <c r="AI53" s="110"/>
      <c r="AJ53" s="110"/>
      <c r="AK53" s="111"/>
      <c r="AL53" s="111"/>
      <c r="AM53" s="111"/>
      <c r="AN53" s="111"/>
      <c r="AO53" s="111"/>
      <c r="AP53" s="111"/>
      <c r="AQ53" s="111"/>
      <c r="AR53" s="111"/>
      <c r="AS53" s="111"/>
      <c r="AT53" s="111"/>
      <c r="AU53" s="111"/>
      <c r="AV53" s="111"/>
      <c r="AW53" s="112"/>
    </row>
    <row r="54" spans="1:50" s="15" customFormat="1" ht="12.9" customHeight="1" x14ac:dyDescent="0.25">
      <c r="A54" s="29"/>
      <c r="B54" s="30"/>
      <c r="C54" s="30">
        <f>C50+ 1</f>
        <v>1</v>
      </c>
      <c r="D54" s="30">
        <v>8</v>
      </c>
      <c r="E54" s="29"/>
      <c r="G54" s="141" t="s">
        <v>209</v>
      </c>
      <c r="H54" s="142"/>
      <c r="I54" s="142"/>
      <c r="J54" s="142"/>
      <c r="K54" s="142"/>
      <c r="L54" s="142"/>
      <c r="M54" s="142"/>
      <c r="N54" s="142"/>
      <c r="O54" s="142"/>
      <c r="P54" s="142"/>
      <c r="Q54" s="142"/>
      <c r="R54" s="142"/>
      <c r="S54" s="142"/>
      <c r="T54" s="142"/>
      <c r="U54" s="142"/>
      <c r="V54" s="142"/>
      <c r="W54" s="142"/>
      <c r="X54" s="143"/>
      <c r="Y54" s="121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3"/>
      <c r="AK54" s="159" t="s">
        <v>210</v>
      </c>
      <c r="AL54" s="160"/>
      <c r="AM54" s="160"/>
      <c r="AN54" s="160"/>
      <c r="AO54" s="160"/>
      <c r="AP54" s="160"/>
      <c r="AQ54" s="160"/>
      <c r="AR54" s="160"/>
      <c r="AS54" s="160"/>
      <c r="AT54" s="160"/>
      <c r="AU54" s="160"/>
      <c r="AV54" s="160"/>
      <c r="AW54" s="161"/>
    </row>
    <row r="55" spans="1:50" s="15" customFormat="1" ht="12.9" customHeight="1" x14ac:dyDescent="0.25">
      <c r="A55" s="29"/>
      <c r="B55" s="30"/>
      <c r="C55" s="30"/>
      <c r="D55" s="30"/>
      <c r="E55" s="29"/>
      <c r="F55" s="51" t="s">
        <v>208</v>
      </c>
      <c r="G55" s="109" t="s">
        <v>227</v>
      </c>
      <c r="H55" s="136"/>
      <c r="I55" s="136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  <c r="AT55" s="136"/>
      <c r="AU55" s="136"/>
      <c r="AV55" s="136"/>
      <c r="AW55" s="149"/>
    </row>
    <row r="56" spans="1:50" s="15" customFormat="1" ht="12.9" customHeight="1" x14ac:dyDescent="0.25">
      <c r="A56" s="29"/>
      <c r="B56" s="30"/>
      <c r="C56" s="30"/>
      <c r="D56" s="30"/>
      <c r="E56" s="29"/>
      <c r="F56" s="51" t="s">
        <v>208</v>
      </c>
      <c r="G56" s="109" t="s">
        <v>228</v>
      </c>
      <c r="H56" s="136"/>
      <c r="I56" s="136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36"/>
      <c r="AR56" s="136"/>
      <c r="AS56" s="136"/>
      <c r="AT56" s="136"/>
      <c r="AU56" s="136"/>
      <c r="AV56" s="136"/>
      <c r="AW56" s="149"/>
    </row>
    <row r="57" spans="1:50" s="15" customFormat="1" ht="12.9" customHeight="1" x14ac:dyDescent="0.25">
      <c r="A57" s="29"/>
      <c r="B57" s="30"/>
      <c r="C57" s="30"/>
      <c r="D57" s="30"/>
      <c r="E57" s="29"/>
      <c r="G57" s="109" t="s">
        <v>229</v>
      </c>
      <c r="H57" s="136"/>
      <c r="I57" s="136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  <c r="AS57" s="136"/>
      <c r="AT57" s="136"/>
      <c r="AU57" s="136"/>
      <c r="AV57" s="136"/>
      <c r="AW57" s="149"/>
    </row>
    <row r="58" spans="1:50" customFormat="1" ht="8.1" customHeight="1" x14ac:dyDescent="0.25"/>
    <row r="59" spans="1:50" customFormat="1" ht="12" customHeight="1" x14ac:dyDescent="0.25">
      <c r="A59" s="61"/>
      <c r="B59" s="65"/>
      <c r="C59" s="66"/>
      <c r="D59" s="66"/>
      <c r="E59" s="62" t="s">
        <v>219</v>
      </c>
      <c r="G59" s="138" t="s">
        <v>223</v>
      </c>
      <c r="H59" s="139"/>
      <c r="I59" s="139"/>
      <c r="J59" s="139"/>
      <c r="K59" s="139"/>
      <c r="L59" s="139"/>
      <c r="M59" s="139"/>
      <c r="N59" s="139"/>
      <c r="O59" s="139"/>
      <c r="P59" s="139"/>
      <c r="Q59" s="139"/>
      <c r="R59" s="139"/>
      <c r="S59" s="139"/>
      <c r="T59" s="139"/>
      <c r="U59" s="139"/>
      <c r="V59" s="139"/>
      <c r="W59" s="139"/>
      <c r="X59" s="139"/>
      <c r="Y59" s="139"/>
      <c r="Z59" s="139"/>
      <c r="AA59" s="139"/>
      <c r="AB59" s="139"/>
      <c r="AC59" s="139"/>
      <c r="AD59" s="139"/>
      <c r="AE59" s="139"/>
      <c r="AF59" s="139"/>
      <c r="AG59" s="139"/>
      <c r="AH59" s="139"/>
      <c r="AI59" s="139"/>
      <c r="AJ59" s="139"/>
      <c r="AK59" s="139"/>
      <c r="AL59" s="140"/>
      <c r="AM59" s="80" t="s">
        <v>165</v>
      </c>
      <c r="AN59" s="81"/>
      <c r="AO59" s="82"/>
      <c r="AP59" s="80" t="s">
        <v>166</v>
      </c>
      <c r="AQ59" s="81"/>
      <c r="AR59" s="82"/>
    </row>
    <row r="60" spans="1:50" customFormat="1" ht="11.1" customHeight="1" x14ac:dyDescent="0.25">
      <c r="A60" s="61"/>
      <c r="B60" s="65"/>
      <c r="C60" s="66"/>
      <c r="D60" s="66"/>
      <c r="E60" s="62" t="s">
        <v>161</v>
      </c>
      <c r="G60" s="105" t="s">
        <v>211</v>
      </c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06"/>
      <c r="AB60" s="106"/>
      <c r="AC60" s="106"/>
      <c r="AD60" s="106"/>
      <c r="AE60" s="106"/>
      <c r="AF60" s="106"/>
      <c r="AG60" s="106"/>
      <c r="AH60" s="106"/>
      <c r="AI60" s="106"/>
      <c r="AJ60" s="106"/>
      <c r="AK60" s="106"/>
      <c r="AL60" s="107"/>
      <c r="AM60" s="80" t="s">
        <v>165</v>
      </c>
      <c r="AN60" s="81"/>
      <c r="AO60" s="82"/>
      <c r="AP60" s="80" t="s">
        <v>166</v>
      </c>
      <c r="AQ60" s="81"/>
      <c r="AR60" s="82"/>
    </row>
    <row r="61" spans="1:50" customFormat="1" ht="11.1" customHeight="1" x14ac:dyDescent="0.25">
      <c r="A61" s="61"/>
      <c r="B61" s="65"/>
      <c r="C61" s="66"/>
      <c r="D61" s="66"/>
      <c r="E61" s="62" t="s">
        <v>161</v>
      </c>
      <c r="G61" s="105" t="s">
        <v>212</v>
      </c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06"/>
      <c r="AB61" s="106"/>
      <c r="AC61" s="106"/>
      <c r="AD61" s="106"/>
      <c r="AE61" s="106"/>
      <c r="AF61" s="106"/>
      <c r="AG61" s="106"/>
      <c r="AH61" s="106"/>
      <c r="AI61" s="106"/>
      <c r="AJ61" s="106"/>
      <c r="AK61" s="106"/>
      <c r="AL61" s="107"/>
      <c r="AM61" s="80" t="s">
        <v>165</v>
      </c>
      <c r="AN61" s="81"/>
      <c r="AO61" s="82"/>
      <c r="AP61" s="80" t="s">
        <v>166</v>
      </c>
      <c r="AQ61" s="81"/>
      <c r="AR61" s="82"/>
    </row>
    <row r="62" spans="1:50" customFormat="1" ht="11.1" customHeight="1" x14ac:dyDescent="0.25">
      <c r="A62" s="61"/>
      <c r="B62" s="65"/>
      <c r="C62" s="66"/>
      <c r="D62" s="66"/>
      <c r="E62" s="62" t="s">
        <v>161</v>
      </c>
      <c r="G62" s="105" t="s">
        <v>163</v>
      </c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06"/>
      <c r="AB62" s="106"/>
      <c r="AC62" s="106"/>
      <c r="AD62" s="106"/>
      <c r="AE62" s="106"/>
      <c r="AF62" s="106"/>
      <c r="AG62" s="106"/>
      <c r="AH62" s="106"/>
      <c r="AI62" s="106"/>
      <c r="AJ62" s="106"/>
      <c r="AK62" s="106"/>
      <c r="AL62" s="107"/>
      <c r="AM62" s="80" t="s">
        <v>165</v>
      </c>
      <c r="AN62" s="81"/>
      <c r="AO62" s="82"/>
      <c r="AP62" s="80" t="s">
        <v>166</v>
      </c>
      <c r="AQ62" s="81"/>
      <c r="AR62" s="82"/>
    </row>
    <row r="63" spans="1:50" customFormat="1" ht="11.1" customHeight="1" x14ac:dyDescent="0.25">
      <c r="A63" s="61"/>
      <c r="B63" s="65"/>
      <c r="C63" s="66"/>
      <c r="D63" s="66"/>
      <c r="E63" s="62" t="s">
        <v>161</v>
      </c>
      <c r="G63" s="105" t="s">
        <v>224</v>
      </c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06"/>
      <c r="AB63" s="106"/>
      <c r="AC63" s="106"/>
      <c r="AD63" s="106"/>
      <c r="AE63" s="106"/>
      <c r="AF63" s="106"/>
      <c r="AG63" s="106"/>
      <c r="AH63" s="106"/>
      <c r="AI63" s="106"/>
      <c r="AJ63" s="106"/>
      <c r="AK63" s="106"/>
      <c r="AL63" s="107"/>
      <c r="AM63" s="80" t="s">
        <v>165</v>
      </c>
      <c r="AN63" s="81"/>
      <c r="AO63" s="82"/>
      <c r="AP63" s="80" t="s">
        <v>166</v>
      </c>
      <c r="AQ63" s="81"/>
      <c r="AR63" s="82"/>
    </row>
    <row r="64" spans="1:50" customFormat="1" ht="18" customHeight="1" x14ac:dyDescent="0.25">
      <c r="A64" s="61"/>
      <c r="B64" s="65"/>
      <c r="C64" s="66"/>
      <c r="D64" s="66"/>
      <c r="E64" s="62" t="s">
        <v>161</v>
      </c>
      <c r="G64" s="138" t="s">
        <v>213</v>
      </c>
      <c r="H64" s="139"/>
      <c r="I64" s="139"/>
      <c r="J64" s="139"/>
      <c r="K64" s="139"/>
      <c r="L64" s="139"/>
      <c r="M64" s="139"/>
      <c r="N64" s="139"/>
      <c r="O64" s="139"/>
      <c r="P64" s="139"/>
      <c r="Q64" s="139"/>
      <c r="R64" s="139"/>
      <c r="S64" s="139"/>
      <c r="T64" s="139"/>
      <c r="U64" s="139"/>
      <c r="V64" s="139"/>
      <c r="W64" s="139"/>
      <c r="X64" s="139"/>
      <c r="Y64" s="139"/>
      <c r="Z64" s="139"/>
      <c r="AA64" s="139"/>
      <c r="AB64" s="139"/>
      <c r="AC64" s="139"/>
      <c r="AD64" s="139"/>
      <c r="AE64" s="139"/>
      <c r="AF64" s="139"/>
      <c r="AG64" s="139"/>
      <c r="AH64" s="139"/>
      <c r="AI64" s="139"/>
      <c r="AJ64" s="139"/>
      <c r="AK64" s="139"/>
      <c r="AL64" s="140"/>
      <c r="AM64" s="80" t="s">
        <v>165</v>
      </c>
      <c r="AN64" s="81"/>
      <c r="AO64" s="82"/>
      <c r="AP64" s="80" t="s">
        <v>166</v>
      </c>
      <c r="AQ64" s="81"/>
      <c r="AR64" s="82"/>
      <c r="AS64" s="80" t="s">
        <v>162</v>
      </c>
      <c r="AT64" s="81"/>
      <c r="AU64" s="81"/>
      <c r="AV64" s="81"/>
      <c r="AW64" s="82"/>
    </row>
    <row r="65" spans="1:50" customFormat="1" ht="24.9" customHeight="1" x14ac:dyDescent="0.25">
      <c r="A65" s="61"/>
      <c r="B65" s="65"/>
      <c r="C65" s="66"/>
      <c r="D65" s="66"/>
      <c r="E65" s="62" t="s">
        <v>161</v>
      </c>
      <c r="G65" s="138" t="s">
        <v>214</v>
      </c>
      <c r="H65" s="139"/>
      <c r="I65" s="139"/>
      <c r="J65" s="139"/>
      <c r="K65" s="139"/>
      <c r="L65" s="139"/>
      <c r="M65" s="139"/>
      <c r="N65" s="139"/>
      <c r="O65" s="139"/>
      <c r="P65" s="139"/>
      <c r="Q65" s="139"/>
      <c r="R65" s="139"/>
      <c r="S65" s="139"/>
      <c r="T65" s="139"/>
      <c r="U65" s="139"/>
      <c r="V65" s="139"/>
      <c r="W65" s="139"/>
      <c r="X65" s="139"/>
      <c r="Y65" s="139"/>
      <c r="Z65" s="139"/>
      <c r="AA65" s="139"/>
      <c r="AB65" s="139"/>
      <c r="AC65" s="139"/>
      <c r="AD65" s="139"/>
      <c r="AE65" s="139"/>
      <c r="AF65" s="139"/>
      <c r="AG65" s="139"/>
      <c r="AH65" s="139"/>
      <c r="AI65" s="139"/>
      <c r="AJ65" s="139"/>
      <c r="AK65" s="139"/>
      <c r="AL65" s="140"/>
      <c r="AM65" s="80" t="s">
        <v>165</v>
      </c>
      <c r="AN65" s="81"/>
      <c r="AO65" s="82"/>
      <c r="AP65" s="80" t="s">
        <v>166</v>
      </c>
      <c r="AQ65" s="81"/>
      <c r="AR65" s="82"/>
      <c r="AS65" s="80" t="s">
        <v>162</v>
      </c>
      <c r="AT65" s="81"/>
      <c r="AU65" s="81"/>
      <c r="AV65" s="81"/>
      <c r="AW65" s="82"/>
    </row>
    <row r="66" spans="1:50" customFormat="1" ht="11.1" customHeight="1" x14ac:dyDescent="0.25">
      <c r="A66" s="61"/>
      <c r="B66" s="65"/>
      <c r="C66" s="66"/>
      <c r="D66" s="66"/>
      <c r="E66" s="62" t="s">
        <v>161</v>
      </c>
      <c r="G66" s="105" t="s">
        <v>215</v>
      </c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06"/>
      <c r="AB66" s="106"/>
      <c r="AC66" s="106"/>
      <c r="AD66" s="106"/>
      <c r="AE66" s="106"/>
      <c r="AF66" s="106"/>
      <c r="AG66" s="106"/>
      <c r="AH66" s="106"/>
      <c r="AI66" s="106"/>
      <c r="AJ66" s="106"/>
      <c r="AK66" s="106"/>
      <c r="AL66" s="107"/>
      <c r="AM66" s="80" t="s">
        <v>165</v>
      </c>
      <c r="AN66" s="81"/>
      <c r="AO66" s="82"/>
      <c r="AP66" s="80" t="s">
        <v>166</v>
      </c>
      <c r="AQ66" s="81"/>
      <c r="AR66" s="82"/>
    </row>
    <row r="67" spans="1:50" customFormat="1" ht="21.9" customHeight="1" x14ac:dyDescent="0.25">
      <c r="A67" s="61"/>
      <c r="B67" s="65"/>
      <c r="C67" s="66"/>
      <c r="D67" s="66"/>
      <c r="E67" s="62" t="s">
        <v>161</v>
      </c>
      <c r="G67" s="105" t="s">
        <v>217</v>
      </c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  <c r="AA67" s="106"/>
      <c r="AB67" s="106"/>
      <c r="AC67" s="106"/>
      <c r="AD67" s="106"/>
      <c r="AE67" s="106"/>
      <c r="AF67" s="106"/>
      <c r="AG67" s="106"/>
      <c r="AH67" s="106"/>
      <c r="AI67" s="106"/>
      <c r="AJ67" s="106"/>
      <c r="AK67" s="106"/>
      <c r="AL67" s="107"/>
      <c r="AM67" s="80" t="s">
        <v>165</v>
      </c>
      <c r="AN67" s="81"/>
      <c r="AO67" s="82"/>
      <c r="AP67" s="80" t="s">
        <v>166</v>
      </c>
      <c r="AQ67" s="81"/>
      <c r="AR67" s="82"/>
    </row>
    <row r="68" spans="1:50" customFormat="1" ht="21.9" customHeight="1" x14ac:dyDescent="0.25">
      <c r="A68" s="61"/>
      <c r="B68" s="65"/>
      <c r="C68" s="66"/>
      <c r="D68" s="66"/>
      <c r="E68" s="62" t="s">
        <v>161</v>
      </c>
      <c r="G68" s="105" t="s">
        <v>218</v>
      </c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06"/>
      <c r="AB68" s="106"/>
      <c r="AC68" s="106"/>
      <c r="AD68" s="106"/>
      <c r="AE68" s="106"/>
      <c r="AF68" s="106"/>
      <c r="AG68" s="106"/>
      <c r="AH68" s="106"/>
      <c r="AI68" s="106"/>
      <c r="AJ68" s="106"/>
      <c r="AK68" s="106"/>
      <c r="AL68" s="107"/>
      <c r="AM68" s="80" t="s">
        <v>165</v>
      </c>
      <c r="AN68" s="81"/>
      <c r="AO68" s="82"/>
      <c r="AP68" s="80" t="s">
        <v>166</v>
      </c>
      <c r="AQ68" s="81"/>
      <c r="AR68" s="82"/>
    </row>
    <row r="69" spans="1:50" customFormat="1" ht="11.1" customHeight="1" x14ac:dyDescent="0.25">
      <c r="A69" s="61"/>
      <c r="B69" s="65"/>
      <c r="C69" s="66"/>
      <c r="D69" s="66"/>
      <c r="E69" s="62" t="s">
        <v>161</v>
      </c>
      <c r="G69" s="105" t="s">
        <v>216</v>
      </c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06"/>
      <c r="AB69" s="106"/>
      <c r="AC69" s="106"/>
      <c r="AD69" s="106"/>
      <c r="AE69" s="106"/>
      <c r="AF69" s="106"/>
      <c r="AG69" s="106"/>
      <c r="AH69" s="106"/>
      <c r="AI69" s="106"/>
      <c r="AJ69" s="106"/>
      <c r="AK69" s="106"/>
      <c r="AL69" s="107"/>
      <c r="AM69" s="80" t="s">
        <v>165</v>
      </c>
      <c r="AN69" s="81"/>
      <c r="AO69" s="82"/>
      <c r="AP69" s="80" t="s">
        <v>166</v>
      </c>
      <c r="AQ69" s="81"/>
      <c r="AR69" s="82"/>
    </row>
    <row r="70" spans="1:50" customFormat="1" ht="11.1" customHeight="1" x14ac:dyDescent="0.25">
      <c r="A70" s="61"/>
      <c r="B70" s="65"/>
      <c r="C70" s="66"/>
      <c r="D70" s="66"/>
      <c r="E70" s="62" t="s">
        <v>161</v>
      </c>
      <c r="G70" s="162" t="s">
        <v>231</v>
      </c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  <c r="AA70" s="106"/>
      <c r="AB70" s="106"/>
      <c r="AC70" s="106"/>
      <c r="AD70" s="106"/>
      <c r="AE70" s="106"/>
      <c r="AF70" s="106"/>
      <c r="AG70" s="106"/>
      <c r="AH70" s="106"/>
      <c r="AI70" s="106"/>
      <c r="AJ70" s="106"/>
      <c r="AK70" s="106"/>
      <c r="AL70" s="107"/>
      <c r="AM70" s="80" t="s">
        <v>165</v>
      </c>
      <c r="AN70" s="81"/>
      <c r="AO70" s="82"/>
      <c r="AP70" s="80" t="s">
        <v>166</v>
      </c>
      <c r="AQ70" s="81"/>
      <c r="AR70" s="82"/>
    </row>
    <row r="71" spans="1:50" customFormat="1" ht="24.9" customHeight="1" x14ac:dyDescent="0.25">
      <c r="A71" s="61"/>
      <c r="B71" s="65"/>
      <c r="C71" s="66"/>
      <c r="D71" s="66"/>
      <c r="E71" s="62" t="s">
        <v>161</v>
      </c>
      <c r="G71" s="162" t="s">
        <v>232</v>
      </c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06"/>
      <c r="AB71" s="106"/>
      <c r="AC71" s="106"/>
      <c r="AD71" s="106"/>
      <c r="AE71" s="106"/>
      <c r="AF71" s="106"/>
      <c r="AG71" s="106"/>
      <c r="AH71" s="106"/>
      <c r="AI71" s="106"/>
      <c r="AJ71" s="106"/>
      <c r="AK71" s="106"/>
      <c r="AL71" s="107"/>
      <c r="AM71" s="80" t="s">
        <v>165</v>
      </c>
      <c r="AN71" s="81"/>
      <c r="AO71" s="82"/>
      <c r="AP71" s="80" t="s">
        <v>166</v>
      </c>
      <c r="AQ71" s="81"/>
      <c r="AR71" s="82"/>
    </row>
    <row r="72" spans="1:50" customFormat="1" ht="12.9" customHeight="1" x14ac:dyDescent="0.25"/>
    <row r="73" spans="1:50" customFormat="1" ht="3.9" customHeight="1" x14ac:dyDescent="0.25"/>
    <row r="74" spans="1:50" ht="12" customHeight="1" x14ac:dyDescent="0.25"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</row>
    <row r="75" spans="1:50" ht="12" customHeight="1" x14ac:dyDescent="0.25">
      <c r="H75" s="118"/>
      <c r="I75" s="118"/>
      <c r="J75" s="118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</row>
    <row r="76" spans="1:50" ht="12" customHeight="1" x14ac:dyDescent="0.25">
      <c r="H76" s="52" t="s">
        <v>191</v>
      </c>
      <c r="I76" s="95" t="s">
        <v>192</v>
      </c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6"/>
      <c r="AD76" s="63" t="s">
        <v>195</v>
      </c>
      <c r="AE76" s="116" t="s">
        <v>196</v>
      </c>
      <c r="AF76" s="116"/>
      <c r="AG76" s="116"/>
      <c r="AH76" s="116"/>
      <c r="AI76" s="116"/>
      <c r="AJ76" s="116"/>
      <c r="AK76" s="116"/>
      <c r="AL76" s="116"/>
      <c r="AM76" s="116"/>
      <c r="AN76" s="116"/>
      <c r="AO76" s="116"/>
      <c r="AP76" s="116"/>
      <c r="AQ76" s="116"/>
      <c r="AR76" s="116"/>
      <c r="AS76" s="116"/>
      <c r="AT76" s="116"/>
      <c r="AU76" s="116"/>
      <c r="AV76" s="116"/>
      <c r="AW76" s="117"/>
    </row>
    <row r="77" spans="1:50" ht="12" customHeight="1" x14ac:dyDescent="0.25"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D77" s="26" t="s">
        <v>193</v>
      </c>
      <c r="AE77" s="124"/>
      <c r="AF77" s="124"/>
      <c r="AG77" s="124"/>
      <c r="AH77" s="124"/>
      <c r="AI77" s="124"/>
      <c r="AJ77" s="124"/>
      <c r="AK77" s="124"/>
      <c r="AL77" s="124"/>
      <c r="AM77" s="124"/>
      <c r="AN77" s="124"/>
      <c r="AO77" s="124"/>
      <c r="AP77" s="124"/>
      <c r="AQ77" s="124"/>
      <c r="AR77" s="124"/>
      <c r="AS77" s="124"/>
      <c r="AT77" s="124"/>
      <c r="AU77" s="124"/>
      <c r="AV77" s="124"/>
      <c r="AW77" s="124"/>
    </row>
    <row r="78" spans="1:50" ht="12" customHeight="1" x14ac:dyDescent="0.25"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D78" s="26" t="s">
        <v>194</v>
      </c>
      <c r="AE78" s="125"/>
      <c r="AF78" s="125"/>
      <c r="AG78" s="125"/>
      <c r="AH78" s="125"/>
      <c r="AI78" s="125"/>
      <c r="AJ78" s="125"/>
      <c r="AK78" s="125"/>
      <c r="AL78" s="125"/>
      <c r="AM78" s="125"/>
      <c r="AN78" s="125"/>
      <c r="AO78" s="125"/>
      <c r="AP78" s="125"/>
      <c r="AQ78" s="125"/>
      <c r="AR78" s="125"/>
      <c r="AS78" s="125"/>
      <c r="AT78" s="125"/>
      <c r="AU78" s="125"/>
      <c r="AV78" s="125"/>
      <c r="AW78" s="125"/>
    </row>
    <row r="79" spans="1:50" ht="12" customHeight="1" x14ac:dyDescent="0.25">
      <c r="H79" s="26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D79" s="26" t="s">
        <v>197</v>
      </c>
      <c r="AE79" s="126"/>
      <c r="AF79" s="126"/>
      <c r="AG79" s="126"/>
      <c r="AH79" s="126"/>
      <c r="AI79" s="126"/>
      <c r="AJ79" s="126"/>
      <c r="AK79" s="126"/>
      <c r="AL79" s="126"/>
      <c r="AM79" s="126"/>
      <c r="AN79" s="126"/>
      <c r="AO79" s="126"/>
      <c r="AP79" s="126"/>
      <c r="AQ79" s="126"/>
      <c r="AR79" s="126"/>
      <c r="AS79" s="126"/>
      <c r="AT79" s="126"/>
      <c r="AU79" s="126"/>
      <c r="AV79" s="126"/>
      <c r="AW79" s="126"/>
    </row>
    <row r="80" spans="1:50" s="8" customFormat="1" ht="3.9" customHeight="1" x14ac:dyDescent="0.25">
      <c r="A80" s="36"/>
      <c r="B80" s="36"/>
      <c r="C80" s="36"/>
      <c r="D80" s="36"/>
      <c r="E80" s="26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X80" s="37"/>
    </row>
    <row r="81" spans="1:50" s="8" customFormat="1" ht="12" customHeight="1" x14ac:dyDescent="0.25">
      <c r="A81" s="36"/>
      <c r="B81" s="36"/>
      <c r="C81" s="36"/>
      <c r="D81" s="36"/>
      <c r="E81" s="26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</row>
    <row r="82" spans="1:50" s="8" customFormat="1" ht="12" customHeight="1" x14ac:dyDescent="0.25">
      <c r="A82" s="36"/>
      <c r="B82" s="36"/>
      <c r="C82" s="36"/>
      <c r="D82" s="36"/>
      <c r="E82" s="26"/>
      <c r="F82" s="12"/>
      <c r="AI82" s="64"/>
      <c r="AK82" s="12"/>
      <c r="AL82" s="12"/>
      <c r="AM82" s="12"/>
      <c r="AN82" s="12"/>
    </row>
    <row r="83" spans="1:50" ht="12" customHeight="1" x14ac:dyDescent="0.25">
      <c r="V83" s="108"/>
      <c r="W83" s="108"/>
      <c r="X83" s="108"/>
      <c r="Y83" s="108"/>
      <c r="Z83" s="108"/>
      <c r="AA83" s="108"/>
      <c r="AB83" s="108"/>
      <c r="AC83" s="108"/>
      <c r="AD83" s="108"/>
      <c r="AE83" s="108"/>
      <c r="AF83" s="108"/>
      <c r="AG83" s="108"/>
      <c r="AH83" s="108"/>
      <c r="AI83" s="108"/>
      <c r="AJ83" s="108"/>
      <c r="AK83" s="108"/>
      <c r="AL83" s="108"/>
      <c r="AM83" s="108"/>
      <c r="AN83" s="108"/>
      <c r="AO83" s="108"/>
      <c r="AP83" s="108"/>
      <c r="AQ83" s="108"/>
      <c r="AR83" s="108"/>
      <c r="AS83" s="108"/>
      <c r="AT83" s="108"/>
      <c r="AU83" s="108"/>
      <c r="AV83" s="108"/>
      <c r="AW83" s="108"/>
      <c r="AX83" s="108"/>
    </row>
    <row r="84" spans="1:50" ht="12" customHeight="1" x14ac:dyDescent="0.25">
      <c r="V84" s="108"/>
      <c r="W84" s="108"/>
      <c r="X84" s="108"/>
      <c r="Y84" s="108"/>
      <c r="Z84" s="108"/>
      <c r="AA84" s="108"/>
      <c r="AB84" s="108"/>
      <c r="AC84" s="108"/>
      <c r="AD84" s="108"/>
      <c r="AE84" s="108"/>
      <c r="AF84" s="108"/>
      <c r="AG84" s="108"/>
      <c r="AH84" s="108"/>
      <c r="AI84" s="108"/>
      <c r="AJ84" s="108"/>
      <c r="AK84" s="108"/>
      <c r="AL84" s="108"/>
      <c r="AM84" s="108"/>
      <c r="AN84" s="108"/>
      <c r="AO84" s="108"/>
      <c r="AP84" s="108"/>
      <c r="AQ84" s="108"/>
      <c r="AR84" s="108"/>
      <c r="AS84" s="108"/>
      <c r="AT84" s="108"/>
      <c r="AU84" s="108"/>
      <c r="AV84" s="108"/>
      <c r="AW84" s="108"/>
      <c r="AX84" s="108"/>
    </row>
    <row r="85" spans="1:50" x14ac:dyDescent="0.25">
      <c r="V85" s="128"/>
      <c r="W85" s="128"/>
      <c r="X85" s="128"/>
      <c r="Y85" s="128"/>
      <c r="Z85" s="128"/>
      <c r="AA85" s="128"/>
      <c r="AB85" s="128"/>
      <c r="AC85" s="128"/>
      <c r="AD85" s="128"/>
      <c r="AE85" s="128"/>
      <c r="AF85" s="128"/>
      <c r="AG85" s="128"/>
      <c r="AH85" s="128"/>
      <c r="AI85" s="128"/>
      <c r="AJ85" s="128"/>
      <c r="AK85" s="128"/>
      <c r="AL85" s="128"/>
      <c r="AM85" s="128"/>
      <c r="AN85" s="128"/>
      <c r="AO85" s="128"/>
      <c r="AP85" s="127"/>
      <c r="AQ85" s="128"/>
      <c r="AR85" s="128"/>
      <c r="AS85" s="128"/>
      <c r="AT85" s="128"/>
      <c r="AU85" s="128"/>
      <c r="AV85" s="128"/>
      <c r="AW85" s="128"/>
      <c r="AX85" s="128"/>
    </row>
  </sheetData>
  <sheetProtection password="C0A9" sheet="1" formatCells="0" formatColumns="0" formatRows="0" sort="0" autoFilter="0"/>
  <mergeCells count="125">
    <mergeCell ref="G70:AL70"/>
    <mergeCell ref="AM70:AO70"/>
    <mergeCell ref="AP70:AR70"/>
    <mergeCell ref="G71:AL71"/>
    <mergeCell ref="AM71:AO71"/>
    <mergeCell ref="AP71:AR71"/>
    <mergeCell ref="G61:AL61"/>
    <mergeCell ref="AM61:AO61"/>
    <mergeCell ref="AP61:AR61"/>
    <mergeCell ref="AK54:AW54"/>
    <mergeCell ref="G57:AW57"/>
    <mergeCell ref="G55:AW55"/>
    <mergeCell ref="G56:AW56"/>
    <mergeCell ref="G60:AL60"/>
    <mergeCell ref="AM60:AO60"/>
    <mergeCell ref="AP60:AR60"/>
    <mergeCell ref="G69:AL69"/>
    <mergeCell ref="AM69:AO69"/>
    <mergeCell ref="AP69:AR69"/>
    <mergeCell ref="G68:AL68"/>
    <mergeCell ref="AM68:AO68"/>
    <mergeCell ref="AS65:AW65"/>
    <mergeCell ref="G63:AL63"/>
    <mergeCell ref="AM63:AO63"/>
    <mergeCell ref="AP63:AR63"/>
    <mergeCell ref="AP64:AR64"/>
    <mergeCell ref="AS64:AW64"/>
    <mergeCell ref="G64:AL64"/>
    <mergeCell ref="AM64:AO64"/>
    <mergeCell ref="G67:AL67"/>
    <mergeCell ref="AM67:AO67"/>
    <mergeCell ref="AP67:AR67"/>
    <mergeCell ref="AP65:AR65"/>
    <mergeCell ref="G66:AL66"/>
    <mergeCell ref="AM66:AO66"/>
    <mergeCell ref="G65:AL65"/>
    <mergeCell ref="AM65:AO65"/>
    <mergeCell ref="AP66:AR66"/>
    <mergeCell ref="R34:AW34"/>
    <mergeCell ref="R35:AW35"/>
    <mergeCell ref="AP43:AQ43"/>
    <mergeCell ref="AA48:AT48"/>
    <mergeCell ref="G48:U48"/>
    <mergeCell ref="V48:Z48"/>
    <mergeCell ref="AR43:AW43"/>
    <mergeCell ref="G43:AG43"/>
    <mergeCell ref="AJ46:AW46"/>
    <mergeCell ref="V84:Z84"/>
    <mergeCell ref="AA84:AE84"/>
    <mergeCell ref="AF84:AJ84"/>
    <mergeCell ref="V85:Z85"/>
    <mergeCell ref="AA85:AE85"/>
    <mergeCell ref="AF85:AJ85"/>
    <mergeCell ref="AK85:AO85"/>
    <mergeCell ref="AK84:AO84"/>
    <mergeCell ref="K28:AW28"/>
    <mergeCell ref="AR31:AW31"/>
    <mergeCell ref="AI32:AP32"/>
    <mergeCell ref="AI31:AP31"/>
    <mergeCell ref="AM59:AO59"/>
    <mergeCell ref="AP59:AR59"/>
    <mergeCell ref="G59:AL59"/>
    <mergeCell ref="G54:X54"/>
    <mergeCell ref="G28:I28"/>
    <mergeCell ref="G45:AW45"/>
    <mergeCell ref="AH43:AO43"/>
    <mergeCell ref="G40:AW40"/>
    <mergeCell ref="AR42:AW42"/>
    <mergeCell ref="AH42:AO42"/>
    <mergeCell ref="G39:AW39"/>
    <mergeCell ref="AR32:AW32"/>
    <mergeCell ref="AP84:AT84"/>
    <mergeCell ref="AU84:AX84"/>
    <mergeCell ref="AE77:AW77"/>
    <mergeCell ref="AE78:AW78"/>
    <mergeCell ref="AE79:AW79"/>
    <mergeCell ref="AP83:AT83"/>
    <mergeCell ref="AU83:AX83"/>
    <mergeCell ref="AP85:AT85"/>
    <mergeCell ref="AU85:AX85"/>
    <mergeCell ref="I76:Z76"/>
    <mergeCell ref="AP42:AQ42"/>
    <mergeCell ref="AU49:AW49"/>
    <mergeCell ref="H53:AA53"/>
    <mergeCell ref="G62:AL62"/>
    <mergeCell ref="AM62:AO62"/>
    <mergeCell ref="V83:Z83"/>
    <mergeCell ref="AA83:AE83"/>
    <mergeCell ref="AF83:AJ83"/>
    <mergeCell ref="AK83:AO83"/>
    <mergeCell ref="AB53:AW53"/>
    <mergeCell ref="AA49:AT49"/>
    <mergeCell ref="AE76:AW76"/>
    <mergeCell ref="H75:Z75"/>
    <mergeCell ref="G49:U49"/>
    <mergeCell ref="V49:Z49"/>
    <mergeCell ref="G47:AI47"/>
    <mergeCell ref="AJ47:AW47"/>
    <mergeCell ref="AP62:AR62"/>
    <mergeCell ref="AU48:AW48"/>
    <mergeCell ref="Y54:AJ54"/>
    <mergeCell ref="G42:AG42"/>
    <mergeCell ref="G46:AI46"/>
    <mergeCell ref="AP68:AR68"/>
    <mergeCell ref="G26:I26"/>
    <mergeCell ref="K26:AW26"/>
    <mergeCell ref="G20:AW20"/>
    <mergeCell ref="G22:I22"/>
    <mergeCell ref="K22:AW22"/>
    <mergeCell ref="G24:I24"/>
    <mergeCell ref="K24:AW24"/>
    <mergeCell ref="G27:I27"/>
    <mergeCell ref="K27:AW27"/>
    <mergeCell ref="G25:I25"/>
    <mergeCell ref="K25:AW25"/>
    <mergeCell ref="T2:AU2"/>
    <mergeCell ref="T3:AU3"/>
    <mergeCell ref="T4:AU4"/>
    <mergeCell ref="G18:AW18"/>
    <mergeCell ref="G9:I9"/>
    <mergeCell ref="K9:M9"/>
    <mergeCell ref="O9:AW11"/>
    <mergeCell ref="O13:AW16"/>
    <mergeCell ref="G13:I13"/>
    <mergeCell ref="K13:M13"/>
  </mergeCells>
  <phoneticPr fontId="14" type="noConversion"/>
  <conditionalFormatting sqref="G13:G14 AM59:AM71">
    <cfRule type="cellIs" dxfId="0" priority="1" stopIfTrue="1" operator="equal">
      <formula>0</formula>
    </cfRule>
  </conditionalFormatting>
  <printOptions horizontalCentered="1"/>
  <pageMargins left="0.59055118110236227" right="0.19685039370078741" top="0.78740157480314965" bottom="0.59055118110236227" header="0.39370078740157483" footer="0.39370078740157483"/>
  <pageSetup paperSize="9" scale="90" fitToHeight="0" orientation="portrait" horizontalDpi="1200" verticalDpi="1200" r:id="rId1"/>
  <headerFooter differentOddEven="1" alignWithMargins="0">
    <oddHeader>&amp;C#PÚBLICO&amp;RAE &amp;14 023 &amp;12 072</oddHeader>
    <oddFooter>&amp;C&amp;9Declaração &amp;A&amp;R&amp;9&amp;P/&amp;N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C2361-8B95-4641-AC8C-9B34EB5AB80F}">
  <sheetPr codeName="Plan4">
    <tabColor indexed="31"/>
  </sheetPr>
  <dimension ref="A1:K73"/>
  <sheetViews>
    <sheetView workbookViewId="0">
      <selection activeCell="E17" sqref="E17"/>
    </sheetView>
  </sheetViews>
  <sheetFormatPr defaultRowHeight="13.2" x14ac:dyDescent="0.25"/>
  <cols>
    <col min="1" max="1" width="9.44140625" bestFit="1" customWidth="1"/>
    <col min="2" max="2" width="6.5546875" bestFit="1" customWidth="1"/>
    <col min="3" max="3" width="23.109375" bestFit="1" customWidth="1"/>
    <col min="6" max="6" width="17" customWidth="1"/>
  </cols>
  <sheetData>
    <row r="1" spans="1:7" x14ac:dyDescent="0.25">
      <c r="A1" s="20" t="s">
        <v>160</v>
      </c>
      <c r="B1" s="22" t="s">
        <v>16</v>
      </c>
      <c r="C1" s="22" t="s">
        <v>5</v>
      </c>
      <c r="F1" s="18" t="s">
        <v>14</v>
      </c>
      <c r="G1" s="18" t="s">
        <v>15</v>
      </c>
    </row>
    <row r="2" spans="1:7" x14ac:dyDescent="0.25">
      <c r="A2" s="20" t="s">
        <v>18</v>
      </c>
      <c r="B2" s="22">
        <v>6990</v>
      </c>
      <c r="C2" s="22" t="s">
        <v>90</v>
      </c>
      <c r="F2" s="19" t="s">
        <v>8</v>
      </c>
      <c r="G2" s="19" t="s">
        <v>13</v>
      </c>
    </row>
    <row r="3" spans="1:7" x14ac:dyDescent="0.25">
      <c r="A3" s="20" t="s">
        <v>27</v>
      </c>
      <c r="B3" s="22">
        <v>6993</v>
      </c>
      <c r="C3" s="22" t="s">
        <v>88</v>
      </c>
      <c r="F3" s="19" t="s">
        <v>9</v>
      </c>
      <c r="G3" s="19" t="s">
        <v>11</v>
      </c>
    </row>
    <row r="4" spans="1:7" x14ac:dyDescent="0.25">
      <c r="A4" s="20" t="s">
        <v>31</v>
      </c>
      <c r="B4" s="22">
        <v>6996</v>
      </c>
      <c r="C4" s="22" t="s">
        <v>102</v>
      </c>
      <c r="F4" s="19" t="s">
        <v>10</v>
      </c>
      <c r="G4" s="19" t="s">
        <v>12</v>
      </c>
    </row>
    <row r="5" spans="1:7" x14ac:dyDescent="0.25">
      <c r="A5" s="20" t="s">
        <v>17</v>
      </c>
      <c r="B5" s="22">
        <v>6997</v>
      </c>
      <c r="C5" s="22" t="s">
        <v>89</v>
      </c>
    </row>
    <row r="6" spans="1:7" x14ac:dyDescent="0.25">
      <c r="A6" s="20" t="s">
        <v>21</v>
      </c>
      <c r="B6" s="22">
        <v>6999</v>
      </c>
      <c r="C6" s="22" t="s">
        <v>93</v>
      </c>
    </row>
    <row r="7" spans="1:7" x14ac:dyDescent="0.25">
      <c r="A7" s="20" t="s">
        <v>20</v>
      </c>
      <c r="B7" s="22">
        <v>7369</v>
      </c>
      <c r="C7" s="22" t="s">
        <v>92</v>
      </c>
    </row>
    <row r="8" spans="1:7" x14ac:dyDescent="0.25">
      <c r="A8" s="20" t="s">
        <v>19</v>
      </c>
      <c r="B8" s="22">
        <v>7375</v>
      </c>
      <c r="C8" s="22" t="s">
        <v>91</v>
      </c>
    </row>
    <row r="9" spans="1:7" x14ac:dyDescent="0.25">
      <c r="A9" s="20" t="s">
        <v>25</v>
      </c>
      <c r="B9" s="22">
        <v>7383</v>
      </c>
      <c r="C9" s="22" t="s">
        <v>97</v>
      </c>
    </row>
    <row r="10" spans="1:7" x14ac:dyDescent="0.25">
      <c r="A10" s="20" t="s">
        <v>26</v>
      </c>
      <c r="B10" s="22">
        <v>7385</v>
      </c>
      <c r="C10" s="22" t="s">
        <v>98</v>
      </c>
    </row>
    <row r="11" spans="1:7" x14ac:dyDescent="0.25">
      <c r="A11" s="20" t="s">
        <v>23</v>
      </c>
      <c r="B11" s="22">
        <v>7389</v>
      </c>
      <c r="C11" s="22" t="s">
        <v>95</v>
      </c>
    </row>
    <row r="12" spans="1:7" x14ac:dyDescent="0.25">
      <c r="A12" s="20" t="s">
        <v>30</v>
      </c>
      <c r="B12" s="22">
        <v>7886</v>
      </c>
      <c r="C12" s="22" t="s">
        <v>101</v>
      </c>
    </row>
    <row r="13" spans="1:7" x14ac:dyDescent="0.25">
      <c r="A13" s="20" t="s">
        <v>24</v>
      </c>
      <c r="B13" s="22">
        <v>7890</v>
      </c>
      <c r="C13" s="22" t="s">
        <v>96</v>
      </c>
    </row>
    <row r="14" spans="1:7" x14ac:dyDescent="0.25">
      <c r="A14" s="20" t="s">
        <v>22</v>
      </c>
      <c r="B14" s="22">
        <v>7905</v>
      </c>
      <c r="C14" s="22" t="s">
        <v>94</v>
      </c>
    </row>
    <row r="15" spans="1:7" x14ac:dyDescent="0.25">
      <c r="A15" s="20" t="s">
        <v>28</v>
      </c>
      <c r="B15" s="22">
        <v>7908</v>
      </c>
      <c r="C15" s="22" t="s">
        <v>99</v>
      </c>
    </row>
    <row r="16" spans="1:7" x14ac:dyDescent="0.25">
      <c r="A16" s="20" t="s">
        <v>29</v>
      </c>
      <c r="B16" s="22">
        <v>7915</v>
      </c>
      <c r="C16" s="22" t="s">
        <v>100</v>
      </c>
    </row>
    <row r="17" spans="1:11" x14ac:dyDescent="0.25">
      <c r="A17" s="20" t="s">
        <v>47</v>
      </c>
      <c r="B17" s="22">
        <v>6991</v>
      </c>
      <c r="C17" s="22" t="s">
        <v>118</v>
      </c>
    </row>
    <row r="18" spans="1:11" x14ac:dyDescent="0.25">
      <c r="A18" s="20" t="s">
        <v>42</v>
      </c>
      <c r="B18" s="22">
        <v>7363</v>
      </c>
      <c r="C18" s="22" t="s">
        <v>113</v>
      </c>
    </row>
    <row r="19" spans="1:11" x14ac:dyDescent="0.25">
      <c r="A19" s="20" t="s">
        <v>36</v>
      </c>
      <c r="B19" s="22">
        <v>7372</v>
      </c>
      <c r="C19" s="22" t="s">
        <v>107</v>
      </c>
    </row>
    <row r="20" spans="1:11" x14ac:dyDescent="0.25">
      <c r="A20" s="20" t="s">
        <v>38</v>
      </c>
      <c r="B20" s="22">
        <v>7374</v>
      </c>
      <c r="C20" s="22" t="s">
        <v>109</v>
      </c>
    </row>
    <row r="21" spans="1:11" x14ac:dyDescent="0.25">
      <c r="A21" s="20" t="s">
        <v>35</v>
      </c>
      <c r="B21" s="22">
        <v>7377</v>
      </c>
      <c r="C21" s="22" t="s">
        <v>106</v>
      </c>
    </row>
    <row r="22" spans="1:11" x14ac:dyDescent="0.25">
      <c r="A22" s="20" t="s">
        <v>41</v>
      </c>
      <c r="B22" s="22">
        <v>7378</v>
      </c>
      <c r="C22" s="22" t="s">
        <v>112</v>
      </c>
    </row>
    <row r="23" spans="1:11" x14ac:dyDescent="0.25">
      <c r="A23" s="20" t="s">
        <v>32</v>
      </c>
      <c r="B23" s="22">
        <v>7384</v>
      </c>
      <c r="C23" s="22" t="s">
        <v>103</v>
      </c>
    </row>
    <row r="24" spans="1:11" x14ac:dyDescent="0.25">
      <c r="A24" s="20" t="s">
        <v>46</v>
      </c>
      <c r="B24" s="22">
        <v>7387</v>
      </c>
      <c r="C24" s="22" t="s">
        <v>117</v>
      </c>
    </row>
    <row r="25" spans="1:11" x14ac:dyDescent="0.25">
      <c r="A25" s="20" t="s">
        <v>44</v>
      </c>
      <c r="B25" s="22">
        <v>7888</v>
      </c>
      <c r="C25" s="22" t="s">
        <v>115</v>
      </c>
    </row>
    <row r="26" spans="1:11" x14ac:dyDescent="0.25">
      <c r="A26" s="20" t="s">
        <v>34</v>
      </c>
      <c r="B26" s="22">
        <v>7894</v>
      </c>
      <c r="C26" s="22" t="s">
        <v>105</v>
      </c>
      <c r="I26" s="18"/>
    </row>
    <row r="27" spans="1:11" x14ac:dyDescent="0.25">
      <c r="A27" s="20" t="s">
        <v>40</v>
      </c>
      <c r="B27" s="22">
        <v>7897</v>
      </c>
      <c r="C27" s="22" t="s">
        <v>111</v>
      </c>
      <c r="I27" s="18"/>
      <c r="J27" s="18"/>
      <c r="K27" s="18"/>
    </row>
    <row r="28" spans="1:11" x14ac:dyDescent="0.25">
      <c r="A28" s="20" t="s">
        <v>45</v>
      </c>
      <c r="B28" s="22">
        <v>7900</v>
      </c>
      <c r="C28" s="22" t="s">
        <v>116</v>
      </c>
    </row>
    <row r="29" spans="1:11" x14ac:dyDescent="0.25">
      <c r="A29" s="20" t="s">
        <v>37</v>
      </c>
      <c r="B29" s="22">
        <v>7904</v>
      </c>
      <c r="C29" s="22" t="s">
        <v>108</v>
      </c>
    </row>
    <row r="30" spans="1:11" x14ac:dyDescent="0.25">
      <c r="A30" s="20" t="s">
        <v>39</v>
      </c>
      <c r="B30" s="22">
        <v>7906</v>
      </c>
      <c r="C30" s="22" t="s">
        <v>110</v>
      </c>
    </row>
    <row r="31" spans="1:11" x14ac:dyDescent="0.25">
      <c r="A31" s="20" t="s">
        <v>43</v>
      </c>
      <c r="B31" s="22">
        <v>7907</v>
      </c>
      <c r="C31" s="22" t="s">
        <v>114</v>
      </c>
    </row>
    <row r="32" spans="1:11" x14ac:dyDescent="0.25">
      <c r="A32" s="20" t="s">
        <v>33</v>
      </c>
      <c r="B32" s="22">
        <v>7916</v>
      </c>
      <c r="C32" s="22" t="s">
        <v>104</v>
      </c>
    </row>
    <row r="33" spans="1:3" x14ac:dyDescent="0.25">
      <c r="A33" s="20" t="s">
        <v>63</v>
      </c>
      <c r="B33" s="22">
        <v>6995</v>
      </c>
      <c r="C33" s="22" t="s">
        <v>134</v>
      </c>
    </row>
    <row r="34" spans="1:3" x14ac:dyDescent="0.25">
      <c r="A34" s="20" t="s">
        <v>49</v>
      </c>
      <c r="B34" s="22">
        <v>7364</v>
      </c>
      <c r="C34" s="22" t="s">
        <v>120</v>
      </c>
    </row>
    <row r="35" spans="1:3" x14ac:dyDescent="0.25">
      <c r="A35" s="21" t="s">
        <v>57</v>
      </c>
      <c r="B35" s="22">
        <v>7365</v>
      </c>
      <c r="C35" s="22" t="s">
        <v>128</v>
      </c>
    </row>
    <row r="36" spans="1:3" x14ac:dyDescent="0.25">
      <c r="A36" s="20" t="s">
        <v>59</v>
      </c>
      <c r="B36" s="22">
        <v>7367</v>
      </c>
      <c r="C36" s="22" t="s">
        <v>130</v>
      </c>
    </row>
    <row r="37" spans="1:3" x14ac:dyDescent="0.25">
      <c r="A37" s="20" t="s">
        <v>60</v>
      </c>
      <c r="B37" s="22">
        <v>7368</v>
      </c>
      <c r="C37" s="22" t="s">
        <v>131</v>
      </c>
    </row>
    <row r="38" spans="1:3" x14ac:dyDescent="0.25">
      <c r="A38" s="20" t="s">
        <v>52</v>
      </c>
      <c r="B38" s="22">
        <v>7370</v>
      </c>
      <c r="C38" s="22" t="s">
        <v>123</v>
      </c>
    </row>
    <row r="39" spans="1:3" x14ac:dyDescent="0.25">
      <c r="A39" s="20" t="s">
        <v>61</v>
      </c>
      <c r="B39" s="22">
        <v>7373</v>
      </c>
      <c r="C39" s="22" t="s">
        <v>132</v>
      </c>
    </row>
    <row r="40" spans="1:3" x14ac:dyDescent="0.25">
      <c r="A40" s="20" t="s">
        <v>62</v>
      </c>
      <c r="B40" s="22">
        <v>7379</v>
      </c>
      <c r="C40" s="22" t="s">
        <v>133</v>
      </c>
    </row>
    <row r="41" spans="1:3" x14ac:dyDescent="0.25">
      <c r="A41" s="20" t="s">
        <v>50</v>
      </c>
      <c r="B41" s="22">
        <v>7382</v>
      </c>
      <c r="C41" s="22" t="s">
        <v>121</v>
      </c>
    </row>
    <row r="42" spans="1:3" x14ac:dyDescent="0.25">
      <c r="A42" s="20" t="s">
        <v>51</v>
      </c>
      <c r="B42" s="22">
        <v>7386</v>
      </c>
      <c r="C42" s="22" t="s">
        <v>122</v>
      </c>
    </row>
    <row r="43" spans="1:3" x14ac:dyDescent="0.25">
      <c r="A43" s="20" t="s">
        <v>58</v>
      </c>
      <c r="B43" s="22">
        <v>7430</v>
      </c>
      <c r="C43" s="22" t="s">
        <v>129</v>
      </c>
    </row>
    <row r="44" spans="1:3" x14ac:dyDescent="0.25">
      <c r="A44" s="20" t="s">
        <v>54</v>
      </c>
      <c r="B44" s="22">
        <v>7710</v>
      </c>
      <c r="C44" s="22" t="s">
        <v>125</v>
      </c>
    </row>
    <row r="45" spans="1:3" x14ac:dyDescent="0.25">
      <c r="A45" s="20" t="s">
        <v>55</v>
      </c>
      <c r="B45" s="22">
        <v>7895</v>
      </c>
      <c r="C45" s="22" t="s">
        <v>126</v>
      </c>
    </row>
    <row r="46" spans="1:3" x14ac:dyDescent="0.25">
      <c r="A46" s="20" t="s">
        <v>56</v>
      </c>
      <c r="B46" s="22">
        <v>7910</v>
      </c>
      <c r="C46" s="22" t="s">
        <v>127</v>
      </c>
    </row>
    <row r="47" spans="1:3" x14ac:dyDescent="0.25">
      <c r="A47" s="20" t="s">
        <v>48</v>
      </c>
      <c r="B47" s="22">
        <v>7912</v>
      </c>
      <c r="C47" s="22" t="s">
        <v>119</v>
      </c>
    </row>
    <row r="48" spans="1:3" x14ac:dyDescent="0.25">
      <c r="A48" s="20" t="s">
        <v>53</v>
      </c>
      <c r="B48" s="22">
        <v>7913</v>
      </c>
      <c r="C48" s="22" t="s">
        <v>124</v>
      </c>
    </row>
    <row r="49" spans="1:3" x14ac:dyDescent="0.25">
      <c r="A49" s="20" t="s">
        <v>65</v>
      </c>
      <c r="B49" s="22">
        <v>6994</v>
      </c>
      <c r="C49" s="22" t="s">
        <v>136</v>
      </c>
    </row>
    <row r="50" spans="1:3" x14ac:dyDescent="0.25">
      <c r="A50" s="20" t="s">
        <v>74</v>
      </c>
      <c r="B50" s="22">
        <v>7299</v>
      </c>
      <c r="C50" s="22" t="s">
        <v>145</v>
      </c>
    </row>
    <row r="51" spans="1:3" x14ac:dyDescent="0.25">
      <c r="A51" s="20" t="s">
        <v>67</v>
      </c>
      <c r="B51" s="22">
        <v>7371</v>
      </c>
      <c r="C51" s="22" t="s">
        <v>138</v>
      </c>
    </row>
    <row r="52" spans="1:3" x14ac:dyDescent="0.25">
      <c r="A52" s="20" t="s">
        <v>68</v>
      </c>
      <c r="B52" s="22">
        <v>7376</v>
      </c>
      <c r="C52" s="22" t="s">
        <v>139</v>
      </c>
    </row>
    <row r="53" spans="1:3" x14ac:dyDescent="0.25">
      <c r="A53" s="20" t="s">
        <v>69</v>
      </c>
      <c r="B53" s="22">
        <v>7380</v>
      </c>
      <c r="C53" s="22" t="s">
        <v>140</v>
      </c>
    </row>
    <row r="54" spans="1:3" x14ac:dyDescent="0.25">
      <c r="A54" s="20" t="s">
        <v>73</v>
      </c>
      <c r="B54" s="22">
        <v>7388</v>
      </c>
      <c r="C54" s="22" t="s">
        <v>144</v>
      </c>
    </row>
    <row r="55" spans="1:3" x14ac:dyDescent="0.25">
      <c r="A55" s="20" t="s">
        <v>71</v>
      </c>
      <c r="B55" s="22">
        <v>7611</v>
      </c>
      <c r="C55" s="22" t="s">
        <v>142</v>
      </c>
    </row>
    <row r="56" spans="1:3" x14ac:dyDescent="0.25">
      <c r="A56" s="20" t="s">
        <v>72</v>
      </c>
      <c r="B56" s="22">
        <v>7891</v>
      </c>
      <c r="C56" s="22" t="s">
        <v>143</v>
      </c>
    </row>
    <row r="57" spans="1:3" x14ac:dyDescent="0.25">
      <c r="A57" s="21" t="s">
        <v>66</v>
      </c>
      <c r="B57" s="22">
        <v>7901</v>
      </c>
      <c r="C57" s="22" t="s">
        <v>137</v>
      </c>
    </row>
    <row r="58" spans="1:3" x14ac:dyDescent="0.25">
      <c r="A58" s="20" t="s">
        <v>64</v>
      </c>
      <c r="B58" s="22">
        <v>7902</v>
      </c>
      <c r="C58" s="22" t="s">
        <v>135</v>
      </c>
    </row>
    <row r="59" spans="1:3" x14ac:dyDescent="0.25">
      <c r="A59" s="20" t="s">
        <v>75</v>
      </c>
      <c r="B59" s="22">
        <v>7903</v>
      </c>
      <c r="C59" s="22" t="s">
        <v>146</v>
      </c>
    </row>
    <row r="60" spans="1:3" x14ac:dyDescent="0.25">
      <c r="A60" s="20" t="s">
        <v>70</v>
      </c>
      <c r="B60" s="22">
        <v>7909</v>
      </c>
      <c r="C60" s="22" t="s">
        <v>141</v>
      </c>
    </row>
    <row r="61" spans="1:3" x14ac:dyDescent="0.25">
      <c r="A61" s="22" t="s">
        <v>76</v>
      </c>
      <c r="B61" s="22">
        <v>6992</v>
      </c>
      <c r="C61" s="22" t="s">
        <v>147</v>
      </c>
    </row>
    <row r="62" spans="1:3" x14ac:dyDescent="0.25">
      <c r="A62" s="22" t="s">
        <v>80</v>
      </c>
      <c r="B62" s="22">
        <v>6998</v>
      </c>
      <c r="C62" s="22" t="s">
        <v>151</v>
      </c>
    </row>
    <row r="63" spans="1:3" x14ac:dyDescent="0.25">
      <c r="A63" s="22" t="s">
        <v>83</v>
      </c>
      <c r="B63" s="22">
        <v>7381</v>
      </c>
      <c r="C63" s="22" t="s">
        <v>154</v>
      </c>
    </row>
    <row r="64" spans="1:3" x14ac:dyDescent="0.25">
      <c r="A64" s="22" t="s">
        <v>82</v>
      </c>
      <c r="B64" s="22">
        <v>7610</v>
      </c>
      <c r="C64" s="22" t="s">
        <v>153</v>
      </c>
    </row>
    <row r="65" spans="1:3" x14ac:dyDescent="0.25">
      <c r="A65" s="22" t="s">
        <v>84</v>
      </c>
      <c r="B65" s="22">
        <v>7887</v>
      </c>
      <c r="C65" s="22" t="s">
        <v>155</v>
      </c>
    </row>
    <row r="66" spans="1:3" x14ac:dyDescent="0.25">
      <c r="A66" s="22" t="s">
        <v>77</v>
      </c>
      <c r="B66" s="22">
        <v>7889</v>
      </c>
      <c r="C66" s="22" t="s">
        <v>148</v>
      </c>
    </row>
    <row r="67" spans="1:3" x14ac:dyDescent="0.25">
      <c r="A67" s="22" t="s">
        <v>79</v>
      </c>
      <c r="B67" s="22">
        <v>7892</v>
      </c>
      <c r="C67" s="22" t="s">
        <v>150</v>
      </c>
    </row>
    <row r="68" spans="1:3" x14ac:dyDescent="0.25">
      <c r="A68" s="22" t="s">
        <v>87</v>
      </c>
      <c r="B68" s="22">
        <v>7893</v>
      </c>
      <c r="C68" s="22" t="s">
        <v>159</v>
      </c>
    </row>
    <row r="69" spans="1:3" x14ac:dyDescent="0.25">
      <c r="A69" s="22" t="s">
        <v>85</v>
      </c>
      <c r="B69" s="22">
        <v>7896</v>
      </c>
      <c r="C69" s="22" t="s">
        <v>156</v>
      </c>
    </row>
    <row r="70" spans="1:3" x14ac:dyDescent="0.25">
      <c r="A70" s="22" t="s">
        <v>7</v>
      </c>
      <c r="B70" s="22">
        <v>7898</v>
      </c>
      <c r="C70" s="22" t="s">
        <v>158</v>
      </c>
    </row>
    <row r="71" spans="1:3" x14ac:dyDescent="0.25">
      <c r="A71" s="22" t="s">
        <v>86</v>
      </c>
      <c r="B71" s="22">
        <v>7899</v>
      </c>
      <c r="C71" s="22" t="s">
        <v>157</v>
      </c>
    </row>
    <row r="72" spans="1:3" x14ac:dyDescent="0.25">
      <c r="A72" s="22" t="s">
        <v>81</v>
      </c>
      <c r="B72" s="22">
        <v>7911</v>
      </c>
      <c r="C72" s="22" t="s">
        <v>152</v>
      </c>
    </row>
    <row r="73" spans="1:3" x14ac:dyDescent="0.25">
      <c r="A73" s="22" t="s">
        <v>78</v>
      </c>
      <c r="B73" s="22">
        <v>7914</v>
      </c>
      <c r="C73" s="22" t="s">
        <v>149</v>
      </c>
    </row>
  </sheetData>
  <sheetProtection formatCells="0" formatColumns="0" formatRows="0" sort="0" autoFilter="0"/>
  <phoneticPr fontId="14" type="noConversion"/>
  <pageMargins left="0.78740157499999996" right="0.78740157499999996" top="0.984251969" bottom="0.984251969" header="0.49212598499999999" footer="0.49212598499999999"/>
  <pageSetup paperSize="9" orientation="portrait" r:id="rId1"/>
  <headerFooter alignWithMargins="0">
    <oddFooter>&amp;LVigência: 26/02/2018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B79A4A1319AD34E8D57CBD4682D7526" ma:contentTypeVersion="13" ma:contentTypeDescription="Crie um novo documento." ma:contentTypeScope="" ma:versionID="ebcfc70dd02ecc854828631825201dee">
  <xsd:schema xmlns:xsd="http://www.w3.org/2001/XMLSchema" xmlns:xs="http://www.w3.org/2001/XMLSchema" xmlns:p="http://schemas.microsoft.com/office/2006/metadata/properties" xmlns:ns1="http://schemas.microsoft.com/sharepoint/v3" xmlns:ns2="574992a4-8a99-4d17-920f-aea35e23761b" xmlns:ns3="692d8c9a-fcba-40ba-9daa-0a9171537686" targetNamespace="http://schemas.microsoft.com/office/2006/metadata/properties" ma:root="true" ma:fieldsID="75289d123671be0ecf4550a1b3e8a8ed" ns1:_="" ns2:_="" ns3:_="">
    <xsd:import namespace="http://schemas.microsoft.com/sharepoint/v3"/>
    <xsd:import namespace="574992a4-8a99-4d17-920f-aea35e23761b"/>
    <xsd:import namespace="692d8c9a-fcba-40ba-9daa-0a91715376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4992a4-8a99-4d17-920f-aea35e2376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4faff722-0fb5-4c44-9338-8716c18793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2d8c9a-fcba-40ba-9daa-0a917153768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57735fef-5e1f-433d-b599-ca9edca95128}" ma:internalName="TaxCatchAll" ma:showField="CatchAllData" ma:web="692d8c9a-fcba-40ba-9daa-0a91715376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4992a4-8a99-4d17-920f-aea35e23761b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TaxCatchAll xmlns="692d8c9a-fcba-40ba-9daa-0a9171537686"/>
  </documentManagement>
</p:properties>
</file>

<file path=customXml/itemProps1.xml><?xml version="1.0" encoding="utf-8"?>
<ds:datastoreItem xmlns:ds="http://schemas.openxmlformats.org/officeDocument/2006/customXml" ds:itemID="{74B645D7-9302-4762-B1A4-1CEE4061BD6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740293-CE08-4688-9637-C30FF0A53E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74992a4-8a99-4d17-920f-aea35e23761b"/>
    <ds:schemaRef ds:uri="692d8c9a-fcba-40ba-9daa-0a91715376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F07BF7-1620-4246-A9E0-3884BC75D03A}">
  <ds:schemaRefs>
    <ds:schemaRef ds:uri="http://schemas.microsoft.com/office/2006/metadata/properties"/>
    <ds:schemaRef ds:uri="http://schemas.microsoft.com/office/infopath/2007/PartnerControls"/>
    <ds:schemaRef ds:uri="574992a4-8a99-4d17-920f-aea35e23761b"/>
    <ds:schemaRef ds:uri="http://schemas.microsoft.com/sharepoint/v3"/>
    <ds:schemaRef ds:uri="692d8c9a-fcba-40ba-9daa-0a917153768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ElemConstrutivos</vt:lpstr>
      <vt:lpstr>Regras</vt:lpstr>
    </vt:vector>
  </TitlesOfParts>
  <Company>Caixa Econômica Federal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c069326</dc:creator>
  <cp:lastModifiedBy>felipe guilherme berçan</cp:lastModifiedBy>
  <cp:lastPrinted>2026-01-23T17:41:18Z</cp:lastPrinted>
  <dcterms:created xsi:type="dcterms:W3CDTF">2013-06-21T15:03:04Z</dcterms:created>
  <dcterms:modified xsi:type="dcterms:W3CDTF">2026-04-17T17:49:05Z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{3131F30E-CEF7-4906-8699-1199CBBF1F1B} {8EBBB668-0561-4CCB-B8D7-F79C88DF0428} {0D2BEAA8-0324-4D06-959B-DD032383DE96}</vt:lpwstr>
  </property>
  <property fmtid="{D5CDD505-2E9C-101B-9397-08002B2CF9AE}" pid="3" name="DLPManualFileClassificationLastModifiedBy">
    <vt:lpwstr>CORPCAIXA\e754524</vt:lpwstr>
  </property>
  <property fmtid="{D5CDD505-2E9C-101B-9397-08002B2CF9AE}" pid="4" name="DLPManualFileClassificationLastModificationDate">
    <vt:lpwstr>1633436106</vt:lpwstr>
  </property>
  <property fmtid="{D5CDD505-2E9C-101B-9397-08002B2CF9AE}" pid="5" name="DLPManualFileClassificationVersion">
    <vt:lpwstr>11.5.0.60</vt:lpwstr>
  </property>
  <property fmtid="{D5CDD505-2E9C-101B-9397-08002B2CF9AE}" pid="6" name="Status de liberação">
    <vt:lpwstr/>
  </property>
</Properties>
</file>